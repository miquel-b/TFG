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quel\Downloads\TFG\"/>
    </mc:Choice>
  </mc:AlternateContent>
  <xr:revisionPtr revIDLastSave="0" documentId="13_ncr:1_{4AC73D6A-86C1-462A-A4A1-B49851BBA796}" xr6:coauthVersionLast="47" xr6:coauthVersionMax="47" xr10:uidLastSave="{00000000-0000-0000-0000-000000000000}"/>
  <bookViews>
    <workbookView xWindow="-120" yWindow="-120" windowWidth="29040" windowHeight="15720" tabRatio="723" xr2:uid="{654A0BD5-E9B2-4F47-9CDA-23F12472B33A}"/>
  </bookViews>
  <sheets>
    <sheet name="3. Planning" sheetId="20" r:id="rId1"/>
    <sheet name="Tareas Internas" sheetId="6" state="veryHidden" r:id="rId2"/>
  </sheets>
  <externalReferences>
    <externalReference r:id="rId3"/>
  </externalReferences>
  <definedNames>
    <definedName name="asjahr">OFFSET('[1]input fields'!$D$20,,,,COUNTA('[1]input fields'!$D$20:$O$20))</definedName>
    <definedName name="asjahrbez">OFFSET('[1]input fields'!$D$18,,,,COUNTA('[1]input fields'!$D$20:$O$20))</definedName>
    <definedName name="asjahrziel">OFFSET('[1]input fields'!$D$19,,,,COUNTA('[1]input fields'!$D$19:$O$19))</definedName>
    <definedName name="asmonat">OFFSET('[1]input fields'!$D$24,,,,COUNTA('[1]input fields'!$D$24:$O$24))</definedName>
    <definedName name="asmonatbez">OFFSET('[1]input fields'!$D$22,,,,COUNTA('[1]input fields'!$D$22:$O$22))</definedName>
    <definedName name="asmonatziel">OFFSET('[1]input fields'!$D$23,,,,COUNTA('[1]input fields'!$D$23:$O$23))</definedName>
    <definedName name="aswoche">'[1]input fields'!$D$29:$H$29</definedName>
    <definedName name="aswochebez">'[1]input fields'!$D$27:$H$27</definedName>
    <definedName name="aswocheziel">'[1]input fields'!$D$28:$H$28</definedName>
    <definedName name="Iniciodelproyecto" localSheetId="0">'3. Planning'!$C$7</definedName>
    <definedName name="Iniciodelproyecto">#REF!</definedName>
    <definedName name="_xlnm.Print_Area" localSheetId="0">'3. Planning'!$A$1:$AK$65</definedName>
    <definedName name="SemanaParaMostrar" localSheetId="0">'3. Planning'!$C$8</definedName>
    <definedName name="SemanaParaMostrar">#REF!</definedName>
    <definedName name="stkjahr">OFFSET('[1]input fields'!$D$4,,,,COUNTA('[1]input fields'!$D$4:$O$4))</definedName>
    <definedName name="stkjahrbez">OFFSET('[1]input fields'!$D$2,,,,COUNTA('[1]input fields'!$D$4:$O$4))</definedName>
    <definedName name="stkjahrziel">OFFSET('[1]input fields'!$D$3,,,,COUNTA('[1]input fields'!$D$3:$O$3))</definedName>
    <definedName name="stkmonat">OFFSET('[1]input fields'!$D$8,,,,COUNTA('[1]input fields'!$D$8:$O$8))</definedName>
    <definedName name="stkmonatbez">OFFSET('[1]input fields'!$D$6,,,,COUNTA('[1]input fields'!$D$8:$O$8))</definedName>
    <definedName name="stkmonatziel">OFFSET('[1]input fields'!$D$7,,,,COUNTA('[1]input fields'!$D$7:$O$7))</definedName>
    <definedName name="stkwoche">'[1]input fields'!$D$13:$H$13</definedName>
    <definedName name="stkwochebez">'[1]input fields'!$D$11:$H$11</definedName>
    <definedName name="stkwocheziel">'[1]input fields'!$D$12:$H$12</definedName>
    <definedName name="tas_real_start">#REF!</definedName>
    <definedName name="task_end" localSheetId="0">'3. Planning'!$F1</definedName>
    <definedName name="task_progress" localSheetId="0">'3. Planning'!$D1</definedName>
    <definedName name="task_real_end" localSheetId="0">'3. Planning'!$G1</definedName>
    <definedName name="task_real_end">#REF!</definedName>
    <definedName name="task_start" localSheetId="0">'3. Planning'!$E1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0" l="1"/>
  <c r="G48" i="20"/>
  <c r="G46" i="20"/>
  <c r="G47" i="20"/>
  <c r="G40" i="20"/>
  <c r="G42" i="20"/>
  <c r="G43" i="20"/>
  <c r="G44" i="20"/>
  <c r="G45" i="20"/>
  <c r="G38" i="20"/>
  <c r="G39" i="20"/>
  <c r="C43" i="20"/>
  <c r="C35" i="20"/>
  <c r="G35" i="20"/>
  <c r="C37" i="20"/>
  <c r="G37" i="20"/>
  <c r="C34" i="20"/>
  <c r="G34" i="20"/>
  <c r="G29" i="20"/>
  <c r="G31" i="20"/>
  <c r="G32" i="20"/>
  <c r="G33" i="20"/>
  <c r="C31" i="20"/>
  <c r="C32" i="20"/>
  <c r="C33" i="20"/>
  <c r="C29" i="20"/>
  <c r="G28" i="20"/>
  <c r="G27" i="20"/>
  <c r="G26" i="20"/>
  <c r="G25" i="20"/>
  <c r="C23" i="20"/>
  <c r="C25" i="20"/>
  <c r="C26" i="20"/>
  <c r="C27" i="20"/>
  <c r="C28" i="20"/>
  <c r="C20" i="20"/>
  <c r="C19" i="20"/>
  <c r="G20" i="20"/>
  <c r="G23" i="20"/>
  <c r="G19" i="20"/>
  <c r="C13" i="20"/>
  <c r="C14" i="20"/>
  <c r="C15" i="20"/>
  <c r="C16" i="20"/>
  <c r="C17" i="20"/>
  <c r="G13" i="20"/>
  <c r="G14" i="20"/>
  <c r="G15" i="20"/>
  <c r="G16" i="20"/>
  <c r="G17" i="20"/>
  <c r="G60" i="20"/>
  <c r="G61" i="20"/>
  <c r="G62" i="20"/>
  <c r="G63" i="20"/>
  <c r="G64" i="20"/>
  <c r="C11" i="20"/>
  <c r="G11" i="20"/>
  <c r="H10" i="20"/>
  <c r="I10" i="20" s="1"/>
  <c r="C21" i="20" l="1"/>
  <c r="G22" i="20"/>
  <c r="G21" i="20"/>
  <c r="H9" i="20"/>
  <c r="J10" i="20"/>
  <c r="I9" i="20"/>
  <c r="C22" i="20" l="1"/>
  <c r="J9" i="20"/>
  <c r="K10" i="20"/>
  <c r="K9" i="20" l="1"/>
  <c r="L10" i="20"/>
  <c r="L9" i="20" l="1"/>
  <c r="M10" i="20"/>
  <c r="N10" i="20" l="1"/>
  <c r="M9" i="20"/>
  <c r="N9" i="20" l="1"/>
  <c r="O10" i="20"/>
  <c r="O9" i="20" l="1"/>
  <c r="P10" i="20"/>
  <c r="Q10" i="20" l="1"/>
  <c r="P9" i="20"/>
  <c r="R10" i="20" l="1"/>
  <c r="Q9" i="20"/>
  <c r="R9" i="20" l="1"/>
  <c r="S10" i="20"/>
  <c r="T10" i="20" l="1"/>
  <c r="S9" i="20"/>
  <c r="U10" i="20" l="1"/>
  <c r="T9" i="20"/>
  <c r="U9" i="20" l="1"/>
  <c r="V10" i="20"/>
  <c r="W10" i="20" l="1"/>
  <c r="V9" i="20"/>
  <c r="X10" i="20" l="1"/>
  <c r="W9" i="20"/>
  <c r="Y10" i="20" l="1"/>
  <c r="X9" i="20"/>
  <c r="Z10" i="20" l="1"/>
  <c r="Y9" i="20"/>
  <c r="Z9" i="20" l="1"/>
  <c r="AA10" i="20"/>
  <c r="AA9" i="20" l="1"/>
  <c r="AB10" i="20"/>
  <c r="AC10" i="20" l="1"/>
  <c r="AB9" i="20"/>
  <c r="AD10" i="20" l="1"/>
  <c r="AC9" i="20"/>
  <c r="AD9" i="20" l="1"/>
  <c r="AE10" i="20"/>
  <c r="AF10" i="20" l="1"/>
  <c r="AE9" i="20"/>
  <c r="AG10" i="20" l="1"/>
  <c r="AF9" i="20"/>
  <c r="AG9" i="20" l="1"/>
  <c r="AH10" i="20"/>
  <c r="AI10" i="20" l="1"/>
  <c r="AH9" i="20"/>
  <c r="AJ10" i="20" l="1"/>
  <c r="AI9" i="20"/>
  <c r="AK10" i="20" l="1"/>
  <c r="AJ9" i="20"/>
  <c r="AL10" i="20" l="1"/>
  <c r="AK9" i="20"/>
  <c r="AL9" i="20" l="1"/>
  <c r="AM10" i="20"/>
  <c r="AM9" i="20" l="1"/>
  <c r="AN10" i="20"/>
  <c r="AO10" i="20" l="1"/>
  <c r="AN9" i="20"/>
  <c r="AP10" i="20" l="1"/>
  <c r="AO9" i="20"/>
  <c r="AQ10" i="20" l="1"/>
  <c r="AP9" i="20"/>
  <c r="AR10" i="20" l="1"/>
  <c r="AR9" i="20" s="1"/>
  <c r="AQ9" i="20"/>
</calcChain>
</file>

<file path=xl/sharedStrings.xml><?xml version="1.0" encoding="utf-8"?>
<sst xmlns="http://schemas.openxmlformats.org/spreadsheetml/2006/main" count="105" uniqueCount="57">
  <si>
    <t>FECHA DE ACTUALIZACIÓN</t>
  </si>
  <si>
    <t>Fecha Inicio Proyecto:</t>
  </si>
  <si>
    <t>No visualizar las primeras X semanas:</t>
  </si>
  <si>
    <t>ACTUAL</t>
  </si>
  <si>
    <t>Tarea</t>
  </si>
  <si>
    <t>Progreso</t>
  </si>
  <si>
    <t>Inicio</t>
  </si>
  <si>
    <t>Inserte nuevas filas ENCIMA de ésta</t>
  </si>
  <si>
    <t>Cliente</t>
  </si>
  <si>
    <t>Importancia</t>
  </si>
  <si>
    <t>Urgencia</t>
  </si>
  <si>
    <t>Estrella</t>
  </si>
  <si>
    <t>Preparar Planning proyecto RRHH</t>
  </si>
  <si>
    <t>Preparar Planning proyecto Compras</t>
  </si>
  <si>
    <t>Inael</t>
  </si>
  <si>
    <t>Preparar Sesión Jueves 24-07</t>
  </si>
  <si>
    <t>Roca</t>
  </si>
  <si>
    <t>Preparar plan arranque Roca</t>
  </si>
  <si>
    <t>Duración</t>
  </si>
  <si>
    <t>Semana del año</t>
  </si>
  <si>
    <t>Estudio de las técnicas Kaizen Production System</t>
  </si>
  <si>
    <t>Planteamiento Inicial y método de extracción de datos</t>
  </si>
  <si>
    <t>Presentación y primera visita a la fábrica</t>
  </si>
  <si>
    <t>Generación de plantillas para la toma de datos Línea de Botes</t>
  </si>
  <si>
    <t>Generación de plantillas para la toma de datos Línea de Líquidos</t>
  </si>
  <si>
    <t>Estudio y diseño de implementación en líneas piloto</t>
  </si>
  <si>
    <t>Primer ánalisi de los datos disponibles</t>
  </si>
  <si>
    <t>Estudio de la situación actual</t>
  </si>
  <si>
    <t>Shadowing y registro de tareas (As Is) Limpieza Completa Línea de Botes</t>
  </si>
  <si>
    <t>Set-up de método de gravacion de vídeo en línea de Botes</t>
  </si>
  <si>
    <t>Shadowing y registro de tareas (As Is) en producción Línea de Líquidos</t>
  </si>
  <si>
    <t>Inicio de los registros de datos por parte de operarios Línea de Botes</t>
  </si>
  <si>
    <t>Inicio de los registros de datos por parte de operarios Línea de Líquidos</t>
  </si>
  <si>
    <t>Diseño de los escenarios de solución</t>
  </si>
  <si>
    <t>Generación de los paneles Daily Kaizen</t>
  </si>
  <si>
    <t>Generación de la primera iteración de SMED con análisis del vídeo Limpieza Completa</t>
  </si>
  <si>
    <t>Dinámica SMED con Key Users</t>
  </si>
  <si>
    <t>Formación + Dinámica SMED Usuarios</t>
  </si>
  <si>
    <t>Análisis de toma de datos del Shadowing Línea de Líquidos</t>
  </si>
  <si>
    <t>Marcage y reglage de elementos detectados de la Línea de Botes</t>
  </si>
  <si>
    <t>Implementación</t>
  </si>
  <si>
    <t>Kick Off Reuniones de Daily Kaizen</t>
  </si>
  <si>
    <t>Kick Off y Seguimiento en Vídeo del Estándar de Limpieza Completa en Línea de Líquidos</t>
  </si>
  <si>
    <t>Generación Primera Iteración del Estándar General del Trabajador Línea de Líquidos</t>
  </si>
  <si>
    <t>Primera Prueba del Estándar General del Trabajador en Línea de Líquidos + Seguimiento Producción</t>
  </si>
  <si>
    <t>Generación Segunda Iteración del Estándar General del Trabajador Línea de Líquidos</t>
  </si>
  <si>
    <t>Segunda Prueba del Estándar General del Trabajador en Línea de Líquidos + Seguimiento Producción</t>
  </si>
  <si>
    <t>Generación Estándar Limpieza Completa En Línea de Botes</t>
  </si>
  <si>
    <t>Despliege Línea de Botes</t>
  </si>
  <si>
    <t>Auditorias de cumplimento del estándar</t>
  </si>
  <si>
    <t xml:space="preserve">Validación e implementación </t>
  </si>
  <si>
    <t>Análisi de datos</t>
  </si>
  <si>
    <t>Despliege Línea de Líquidos</t>
  </si>
  <si>
    <t xml:space="preserve">Control </t>
  </si>
  <si>
    <t>Steering Comitee</t>
  </si>
  <si>
    <t>Elaboración de la Memoria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</si>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</sst>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C0A]d\-mmm;@"/>
    <numFmt numFmtId="165" formatCode="_-* #,##0_-;\-* #,##0_-;_-* &quot;-&quot;??_-;_-@_-"/>
    <numFmt numFmtId="167" formatCode="ddd\,\ dd/mm/yyyy"/>
    <numFmt numFmtId="168" formatCode="mmm\ &quot;de&quot;\ yyyy"/>
    <numFmt numFmtId="169" formatCode="m/d/yy;@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22"/>
      <color theme="1" tint="0.34998626667073579"/>
      <name val="Calibri Light"/>
      <family val="2"/>
      <scheme val="maj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3C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00A3C2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6" fillId="0" borderId="0"/>
    <xf numFmtId="0" fontId="12" fillId="0" borderId="0" applyNumberFormat="0" applyFill="0" applyBorder="0" applyAlignment="0" applyProtection="0"/>
    <xf numFmtId="0" fontId="10" fillId="0" borderId="0" applyNumberFormat="0" applyFill="0" applyAlignment="0" applyProtection="0"/>
    <xf numFmtId="0" fontId="10" fillId="0" borderId="0" applyNumberFormat="0" applyFill="0" applyProtection="0">
      <alignment vertical="top"/>
    </xf>
    <xf numFmtId="0" fontId="2" fillId="0" borderId="0" applyNumberFormat="0" applyFill="0" applyProtection="0">
      <alignment horizontal="right" indent="1"/>
    </xf>
    <xf numFmtId="167" fontId="2" fillId="0" borderId="2">
      <alignment horizontal="center" vertical="center"/>
    </xf>
    <xf numFmtId="0" fontId="2" fillId="0" borderId="5" applyFill="0">
      <alignment horizontal="center" vertical="center"/>
    </xf>
    <xf numFmtId="0" fontId="2" fillId="0" borderId="5" applyFill="0">
      <alignment horizontal="left" vertical="center" indent="2"/>
    </xf>
    <xf numFmtId="169" fontId="2" fillId="0" borderId="5" applyFill="0">
      <alignment horizontal="center" vertic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8" fillId="0" borderId="0" xfId="8" applyFont="1" applyAlignment="1">
      <alignment vertical="center"/>
    </xf>
    <xf numFmtId="14" fontId="11" fillId="0" borderId="0" xfId="9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4" fontId="18" fillId="0" borderId="0" xfId="9" applyNumberFormat="1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7" xfId="0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9" fontId="1" fillId="3" borderId="4" xfId="1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6" fillId="3" borderId="4" xfId="1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 wrapText="1"/>
    </xf>
    <xf numFmtId="0" fontId="19" fillId="2" borderId="3" xfId="10" applyFont="1" applyFill="1" applyBorder="1" applyAlignment="1">
      <alignment horizontal="center" vertical="center" wrapText="1"/>
    </xf>
    <xf numFmtId="9" fontId="20" fillId="2" borderId="3" xfId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5" fillId="2" borderId="0" xfId="0" applyFont="1" applyFill="1" applyAlignment="1">
      <alignment vertical="center"/>
    </xf>
    <xf numFmtId="164" fontId="19" fillId="2" borderId="3" xfId="12" applyNumberFormat="1" applyFont="1" applyFill="1" applyBorder="1">
      <alignment horizontal="center" vertical="center"/>
    </xf>
    <xf numFmtId="0" fontId="17" fillId="2" borderId="0" xfId="0" applyFont="1" applyFill="1" applyAlignment="1">
      <alignment vertical="center"/>
    </xf>
    <xf numFmtId="164" fontId="14" fillId="0" borderId="0" xfId="0" applyNumberFormat="1" applyFont="1" applyAlignment="1">
      <alignment horizontal="center" vertical="center" wrapText="1"/>
    </xf>
    <xf numFmtId="168" fontId="7" fillId="4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center" vertical="center" wrapText="1"/>
    </xf>
    <xf numFmtId="164" fontId="13" fillId="6" borderId="3" xfId="0" applyNumberFormat="1" applyFont="1" applyFill="1" applyBorder="1" applyAlignment="1">
      <alignment horizontal="center" vertical="center" wrapText="1"/>
    </xf>
    <xf numFmtId="164" fontId="14" fillId="4" borderId="4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8" fillId="0" borderId="4" xfId="0" quotePrefix="1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4" fontId="16" fillId="3" borderId="4" xfId="12" applyNumberFormat="1" applyFont="1" applyFill="1" applyBorder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165" fontId="16" fillId="3" borderId="4" xfId="3" applyNumberFormat="1" applyFont="1" applyFill="1" applyBorder="1" applyAlignment="1">
      <alignment horizontal="center" vertical="center" wrapText="1"/>
    </xf>
    <xf numFmtId="165" fontId="1" fillId="3" borderId="4" xfId="3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4" xfId="0" quotePrefix="1" applyFont="1" applyBorder="1" applyAlignment="1">
      <alignment vertical="center" wrapText="1"/>
    </xf>
  </cellXfs>
  <cellStyles count="15">
    <cellStyle name="Comma" xfId="3" builtinId="3"/>
    <cellStyle name="Encabezado 1 2" xfId="6" xr:uid="{CF0FEF61-340B-4B9D-8C79-4C33450E7E26}"/>
    <cellStyle name="Fecha" xfId="12" xr:uid="{4C452A7E-1BCB-4A22-BADA-D0A4C9F1D421}"/>
    <cellStyle name="Inicio del proyecto" xfId="9" xr:uid="{92751872-022C-4B3B-9156-CF6925445368}"/>
    <cellStyle name="Millares 2" xfId="13" xr:uid="{5EEE26A2-4A5C-4FAE-81BA-34986E7504C9}"/>
    <cellStyle name="Moneda 2" xfId="14" xr:uid="{826AA331-ABA7-4724-9132-47106D29348B}"/>
    <cellStyle name="Nombre" xfId="10" xr:uid="{A1D48A88-687F-47AF-AD68-9CCEEC7801A9}"/>
    <cellStyle name="Normal" xfId="0" builtinId="0"/>
    <cellStyle name="Normal 2" xfId="2" xr:uid="{21B2FC8A-573B-4E3F-A7EC-5CF75A80C2D0}"/>
    <cellStyle name="Percent" xfId="1" builtinId="5"/>
    <cellStyle name="Tarea" xfId="11" xr:uid="{9AC23665-64BA-4E2D-B96C-061B41703C4D}"/>
    <cellStyle name="Título 2 2" xfId="7" xr:uid="{02BBE8B0-F154-4886-BC18-0ED629318B41}"/>
    <cellStyle name="Título 3 2" xfId="8" xr:uid="{E4A28E42-C127-4ECF-937C-5BAA9402D52A}"/>
    <cellStyle name="Título 4" xfId="5" xr:uid="{43AA7577-1F39-4068-B6FB-A45BE68D5E69}"/>
    <cellStyle name="zTextoOculto" xfId="4" xr:uid="{B23C3A35-4ED4-4024-8113-97CECD56787F}"/>
  </cellStyles>
  <dxfs count="19">
    <dxf>
      <fill>
        <patternFill>
          <bgColor theme="0" tint="-0.24994659260841701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C0000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C0000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C0000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 patternType="lightUp">
          <fgColor theme="0"/>
          <bgColor rgb="FF00206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24994659260841701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C0000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fill>
        <patternFill patternType="lightUp">
          <fgColor theme="0"/>
          <bgColor rgb="FF002060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4E4E4"/>
      <color rgb="FFE94840"/>
      <color rgb="FF00A3C2"/>
      <color rgb="FFBDBDBD"/>
      <color rgb="FF45C1F1"/>
      <color rgb="FFEE8976"/>
      <color rgb="FF505050"/>
      <color rgb="FF737373"/>
      <color rgb="FFFFBA75"/>
      <color rgb="FFA905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'Tareas Internas'!$D$1</c:f>
              <c:strCache>
                <c:ptCount val="1"/>
                <c:pt idx="0">
                  <c:v>Urgencia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9850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'Tareas Internas'!$C$2:$C$9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</c:numCache>
            </c:numRef>
          </c:xVal>
          <c:yVal>
            <c:numRef>
              <c:f>'Tareas Internas'!$D$2:$D$9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D-462D-8D8B-AE6C4BFB3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888271"/>
        <c:axId val="1454877871"/>
      </c:scatterChart>
      <c:valAx>
        <c:axId val="145488827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4877871"/>
        <c:crosses val="autoZero"/>
        <c:crossBetween val="midCat"/>
      </c:valAx>
      <c:valAx>
        <c:axId val="145487787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488827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228436</xdr:colOff>
      <xdr:row>0</xdr:row>
      <xdr:rowOff>171809</xdr:rowOff>
    </xdr:from>
    <xdr:to>
      <xdr:col>14</xdr:col>
      <xdr:colOff>546731</xdr:colOff>
      <xdr:row>2</xdr:row>
      <xdr:rowOff>66705</xdr:rowOff>
    </xdr:to>
    <xdr:pic>
      <xdr:nvPicPr>
        <xdr:cNvPr id="2" name="Imagen 1" descr="Consultoría en Excelencia Operativa |Kaizen Institute ES">
          <a:extLst>
            <a:ext uri="{FF2B5EF4-FFF2-40B4-BE49-F238E27FC236}">
              <a16:creationId xmlns:a16="http://schemas.microsoft.com/office/drawing/2014/main" id="{C0040728-DFF8-4CA4-8CF0-C1F3EE897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330" y="171809"/>
          <a:ext cx="1434355" cy="27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725714</xdr:colOff>
      <xdr:row>0</xdr:row>
      <xdr:rowOff>0</xdr:rowOff>
    </xdr:from>
    <xdr:to>
      <xdr:col>9</xdr:col>
      <xdr:colOff>756103</xdr:colOff>
      <xdr:row>21</xdr:row>
      <xdr:rowOff>168956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9ACD34-60CD-4D60-ACBC-0BFEFDBB5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408214</xdr:colOff>
      <xdr:row>2</xdr:row>
      <xdr:rowOff>79375</xdr:rowOff>
    </xdr:from>
    <xdr:to>
      <xdr:col>7</xdr:col>
      <xdr:colOff>408214</xdr:colOff>
      <xdr:row>20</xdr:row>
      <xdr:rowOff>57625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49DF7A5-72C9-4A38-B62F-EC75393D12C8}"/>
            </a:ext>
          </a:extLst>
        </xdr:cNvPr>
        <xdr:cNvCxnSpPr/>
      </xdr:nvCxnSpPr>
      <xdr:spPr>
        <a:xfrm>
          <a:off x="7532914" y="460375"/>
          <a:ext cx="0" cy="3407250"/>
        </a:xfrm>
        <a:prstGeom prst="line">
          <a:avLst/>
        </a:prstGeom>
        <a:ln w="25400">
          <a:solidFill>
            <a:srgbClr val="FF858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212596</xdr:colOff>
      <xdr:row>11</xdr:row>
      <xdr:rowOff>97870</xdr:rowOff>
    </xdr:from>
    <xdr:to>
      <xdr:col>9</xdr:col>
      <xdr:colOff>593667</xdr:colOff>
      <xdr:row>11</xdr:row>
      <xdr:rowOff>97870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C609211-F4C5-43D8-A02B-6A539CB06261}"/>
            </a:ext>
          </a:extLst>
        </xdr:cNvPr>
        <xdr:cNvCxnSpPr/>
      </xdr:nvCxnSpPr>
      <xdr:spPr>
        <a:xfrm rot="16200000">
          <a:off x="7527832" y="478834"/>
          <a:ext cx="0" cy="3429071"/>
        </a:xfrm>
        <a:prstGeom prst="line">
          <a:avLst/>
        </a:prstGeom>
        <a:ln w="25400">
          <a:solidFill>
            <a:srgbClr val="FF858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146731</xdr:colOff>
      <xdr:row>1</xdr:row>
      <xdr:rowOff>69851</xdr:rowOff>
    </xdr:from>
    <xdr:to>
      <xdr:col>9</xdr:col>
      <xdr:colOff>237445</xdr:colOff>
      <xdr:row>2</xdr:row>
      <xdr:rowOff>149225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0AFA267-1FC4-4D94-91F0-AB1F213BA5CD}"/>
            </a:ext>
          </a:extLst>
        </xdr:cNvPr>
        <xdr:cNvSpPr txBox="1"/>
      </xdr:nvSpPr>
      <xdr:spPr>
        <a:xfrm>
          <a:off x="8033431" y="260351"/>
          <a:ext cx="852714" cy="269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0070C0"/>
              </a:solidFill>
            </a:rPr>
            <a:t>HACER</a:t>
          </a:r>
        </a:p>
      </xdr:txBody>
    </xdr:sp>
    <xdr:clientData/>
  </xdr:twoCellAnchor>
  <xdr:twoCellAnchor>
    <xdr:from>
      <xdr:col>5</xdr:col>
      <xdr:colOff>540035</xdr:colOff>
      <xdr:row>19</xdr:row>
      <xdr:rowOff>47174</xdr:rowOff>
    </xdr:from>
    <xdr:to>
      <xdr:col>7</xdr:col>
      <xdr:colOff>44926</xdr:colOff>
      <xdr:row>20</xdr:row>
      <xdr:rowOff>118988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D26353D-66C4-4CEF-B740-273EFD6DFE0F}"/>
            </a:ext>
          </a:extLst>
        </xdr:cNvPr>
        <xdr:cNvSpPr txBox="1"/>
      </xdr:nvSpPr>
      <xdr:spPr>
        <a:xfrm>
          <a:off x="6147205" y="3632528"/>
          <a:ext cx="1032485" cy="260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0070C0"/>
              </a:solidFill>
            </a:rPr>
            <a:t>HACE CLIENTE</a:t>
          </a:r>
        </a:p>
      </xdr:txBody>
    </xdr:sp>
    <xdr:clientData/>
  </xdr:twoCellAnchor>
  <xdr:twoCellAnchor>
    <xdr:from>
      <xdr:col>7</xdr:col>
      <xdr:colOff>613990</xdr:colOff>
      <xdr:row>19</xdr:row>
      <xdr:rowOff>47174</xdr:rowOff>
    </xdr:from>
    <xdr:to>
      <xdr:col>9</xdr:col>
      <xdr:colOff>413345</xdr:colOff>
      <xdr:row>20</xdr:row>
      <xdr:rowOff>118988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910C3FD-1CCA-4535-AA19-E7C8D8A68295}"/>
            </a:ext>
          </a:extLst>
        </xdr:cNvPr>
        <xdr:cNvSpPr txBox="1"/>
      </xdr:nvSpPr>
      <xdr:spPr>
        <a:xfrm>
          <a:off x="7748754" y="3632528"/>
          <a:ext cx="1326949" cy="260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0070C0"/>
              </a:solidFill>
            </a:rPr>
            <a:t>PUEDE</a:t>
          </a:r>
          <a:r>
            <a:rPr lang="en-US" sz="1100" baseline="0">
              <a:solidFill>
                <a:srgbClr val="0070C0"/>
              </a:solidFill>
            </a:rPr>
            <a:t> ESPERAR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5</xdr:col>
      <xdr:colOff>593953</xdr:colOff>
      <xdr:row>1</xdr:row>
      <xdr:rowOff>69851</xdr:rowOff>
    </xdr:from>
    <xdr:to>
      <xdr:col>6</xdr:col>
      <xdr:colOff>684667</xdr:colOff>
      <xdr:row>2</xdr:row>
      <xdr:rowOff>149225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C82B3F6-AF3B-4275-884C-E13EA250F04E}"/>
            </a:ext>
          </a:extLst>
        </xdr:cNvPr>
        <xdr:cNvSpPr txBox="1"/>
      </xdr:nvSpPr>
      <xdr:spPr>
        <a:xfrm>
          <a:off x="6201123" y="258554"/>
          <a:ext cx="854511" cy="268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0070C0"/>
              </a:solidFill>
            </a:rPr>
            <a:t>PLANIFICAR</a:t>
          </a:r>
        </a:p>
      </xdr:txBody>
    </xdr:sp>
    <xdr:clientData/>
  </xdr:twoCellAnchor>
  <xdr:twoCellAnchor>
    <xdr:from>
      <xdr:col>6</xdr:col>
      <xdr:colOff>30717</xdr:colOff>
      <xdr:row>22</xdr:row>
      <xdr:rowOff>64155</xdr:rowOff>
    </xdr:from>
    <xdr:to>
      <xdr:col>9</xdr:col>
      <xdr:colOff>55103</xdr:colOff>
      <xdr:row>23</xdr:row>
      <xdr:rowOff>135969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6B855A2-5BA8-455C-BF8F-5EBD95179923}"/>
            </a:ext>
          </a:extLst>
        </xdr:cNvPr>
        <xdr:cNvSpPr txBox="1"/>
      </xdr:nvSpPr>
      <xdr:spPr>
        <a:xfrm>
          <a:off x="6393417" y="4255155"/>
          <a:ext cx="2310386" cy="2623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8989"/>
              </a:solidFill>
            </a:rPr>
            <a:t>-         URGENCIA</a:t>
          </a:r>
          <a:r>
            <a:rPr lang="en-US" sz="1400" b="1">
              <a:solidFill>
                <a:srgbClr val="FF8989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US" sz="1400" b="1">
              <a:solidFill>
                <a:srgbClr val="FF8989"/>
              </a:solidFill>
            </a:rPr>
            <a:t>+</a:t>
          </a:r>
        </a:p>
      </xdr:txBody>
    </xdr:sp>
    <xdr:clientData/>
  </xdr:twoCellAnchor>
  <xdr:twoCellAnchor>
    <xdr:from>
      <xdr:col>4</xdr:col>
      <xdr:colOff>401027</xdr:colOff>
      <xdr:row>4</xdr:row>
      <xdr:rowOff>165459</xdr:rowOff>
    </xdr:from>
    <xdr:to>
      <xdr:col>4</xdr:col>
      <xdr:colOff>661455</xdr:colOff>
      <xdr:row>17</xdr:row>
      <xdr:rowOff>29522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3F06433-88B4-414B-BDB2-2A9713D88B14}"/>
            </a:ext>
          </a:extLst>
        </xdr:cNvPr>
        <xdr:cNvSpPr txBox="1"/>
      </xdr:nvSpPr>
      <xdr:spPr>
        <a:xfrm rot="16200000">
          <a:off x="4199659" y="1967527"/>
          <a:ext cx="2340563" cy="260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8989"/>
              </a:solidFill>
            </a:rPr>
            <a:t>-         IMPORTANCIA</a:t>
          </a:r>
          <a:r>
            <a:rPr lang="en-US" sz="1400" b="1">
              <a:solidFill>
                <a:srgbClr val="FF8989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US" sz="1400" b="1">
              <a:solidFill>
                <a:srgbClr val="FF8989"/>
              </a:solidFill>
            </a:rPr>
            <a:t>+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cg.sharepoint.com/Comun_PRO/01.%202.%20INDICADORES%20PRO%20_%20KPI%20Room/2016/Formatos%20KPI%20Room/2016%20P.Control%20Room%20tracking%20project%20Scrap%20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ization FTTQ"/>
      <sheetName val="Visualization set up time"/>
      <sheetName val="input fields"/>
      <sheetName val="2016 P"/>
    </sheetNames>
    <sheetDataSet>
      <sheetData sheetId="0"/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5D9DD-E3F4-4DAD-B2B3-A9F457D405A0}" name="Tabla2" displayName="Tabla2" ref="A1:D9" totalsRowShown="0">
  <autoFilter ref="A1:D9" xr:uid="{0C9613C8-8312-4FDF-BC0D-460FAAF871E4}"/>
  <tableColumns count="4">
    <tableColumn id="1" xr3:uid="{DEC922B3-3AA2-4FAC-8377-EBCD9CBE92B5}" name="Cliente"/>
    <tableColumn id="2" xr3:uid="{D8B2B5B4-5798-4B29-8C68-AB811EB5757D}" name="Tarea"/>
    <tableColumn id="3" xr3:uid="{06950230-1FB8-4B63-AAFC-A425588CF552}" name="Importancia" dataDxfId="18"/>
    <tableColumn id="4" xr3:uid="{57477152-2157-475D-AA9C-A8B0CA0908B8}" name="Urgencia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A0CD-D66D-4BF7-B004-7238C1383AC9}">
  <sheetPr>
    <pageSetUpPr fitToPage="1"/>
  </sheetPr>
  <dimension ref="A1:AR65"/>
  <sheetViews>
    <sheetView showGridLines="0" tabSelected="1" topLeftCell="A17" zoomScale="103" zoomScaleNormal="130" zoomScaleSheetLayoutView="85" workbookViewId="0">
      <selection activeCell="B10" sqref="B10:F48"/>
    </sheetView>
  </sheetViews>
  <sheetFormatPr defaultColWidth="2.5703125" defaultRowHeight="15" x14ac:dyDescent="0.25"/>
  <cols>
    <col min="1" max="1" width="2.5703125" style="1" customWidth="1"/>
    <col min="2" max="2" width="47" style="6" customWidth="1"/>
    <col min="3" max="3" width="11" style="1" customWidth="1"/>
    <col min="4" max="4" width="7.42578125" style="1" hidden="1" customWidth="1"/>
    <col min="5" max="7" width="6.5703125" style="19" customWidth="1"/>
    <col min="8" max="44" width="8.42578125" style="1" customWidth="1"/>
    <col min="45" max="45" width="5" style="1" customWidth="1"/>
    <col min="46" max="16384" width="2.5703125" style="1"/>
  </cols>
  <sheetData>
    <row r="1" spans="2:44" ht="15" customHeight="1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2:44" ht="15" customHeight="1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2:44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2:44" ht="15" customHeight="1" x14ac:dyDescent="0.25">
      <c r="B4" s="39"/>
      <c r="C4" s="39"/>
      <c r="D4" s="39"/>
      <c r="E4" s="39"/>
      <c r="F4" s="39"/>
      <c r="G4" s="39"/>
      <c r="H4" s="39"/>
      <c r="I4" s="39"/>
      <c r="J4" s="3"/>
      <c r="K4" s="46" t="s">
        <v>0</v>
      </c>
      <c r="L4" s="47"/>
      <c r="M4" s="48"/>
      <c r="N4" s="40">
        <v>45835</v>
      </c>
      <c r="O4" s="41"/>
    </row>
    <row r="5" spans="2:44" ht="15" customHeight="1" x14ac:dyDescent="0.25">
      <c r="B5" s="39"/>
      <c r="C5" s="39"/>
      <c r="D5" s="39"/>
      <c r="E5" s="39"/>
      <c r="F5" s="39"/>
      <c r="G5" s="39"/>
      <c r="H5" s="39"/>
      <c r="I5" s="39"/>
      <c r="J5" s="3"/>
      <c r="K5" s="49"/>
      <c r="L5" s="50"/>
      <c r="M5" s="51"/>
      <c r="N5" s="42"/>
      <c r="O5" s="43"/>
    </row>
    <row r="6" spans="2:44" ht="15" customHeight="1" x14ac:dyDescent="0.25"/>
    <row r="7" spans="2:44" s="20" customFormat="1" ht="14.25" customHeight="1" x14ac:dyDescent="0.25">
      <c r="B7" s="6" t="s">
        <v>1</v>
      </c>
      <c r="C7" s="7">
        <v>45677</v>
      </c>
      <c r="D7" s="5"/>
      <c r="E7" s="21"/>
      <c r="F7" s="21"/>
      <c r="G7" s="21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pans="2:44" s="22" customFormat="1" ht="14.25" customHeight="1" x14ac:dyDescent="0.25">
      <c r="B8" s="6" t="s">
        <v>2</v>
      </c>
      <c r="C8" s="8">
        <v>0</v>
      </c>
      <c r="D8" s="4"/>
      <c r="E8" s="45"/>
      <c r="F8" s="45"/>
      <c r="G8" s="23"/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  <c r="AF8" s="33" t="s">
        <v>3</v>
      </c>
      <c r="AG8" s="33" t="s">
        <v>3</v>
      </c>
      <c r="AH8" s="33" t="s">
        <v>3</v>
      </c>
      <c r="AI8" s="33" t="s">
        <v>3</v>
      </c>
      <c r="AJ8" s="33" t="s">
        <v>3</v>
      </c>
      <c r="AK8" s="33" t="s">
        <v>3</v>
      </c>
      <c r="AL8" s="33" t="s">
        <v>3</v>
      </c>
      <c r="AM8" s="33" t="s">
        <v>3</v>
      </c>
      <c r="AN8" s="33" t="s">
        <v>3</v>
      </c>
      <c r="AO8" s="33" t="s">
        <v>3</v>
      </c>
      <c r="AP8" s="33" t="s">
        <v>3</v>
      </c>
      <c r="AQ8" s="33" t="s">
        <v>3</v>
      </c>
      <c r="AR8" s="33" t="s">
        <v>3</v>
      </c>
    </row>
    <row r="9" spans="2:44" x14ac:dyDescent="0.25">
      <c r="B9" s="44"/>
      <c r="C9" s="44"/>
      <c r="D9" s="44"/>
      <c r="E9" s="44"/>
      <c r="F9" s="44"/>
      <c r="G9" s="44"/>
      <c r="H9" s="28" t="str">
        <f t="shared" ref="H9:AR9" si="0">CONCATENATE("W",WEEKNUM(H10))</f>
        <v>W4</v>
      </c>
      <c r="I9" s="28" t="str">
        <f t="shared" si="0"/>
        <v>W5</v>
      </c>
      <c r="J9" s="28" t="str">
        <f t="shared" si="0"/>
        <v>W6</v>
      </c>
      <c r="K9" s="28" t="str">
        <f t="shared" si="0"/>
        <v>W7</v>
      </c>
      <c r="L9" s="28" t="str">
        <f t="shared" si="0"/>
        <v>W8</v>
      </c>
      <c r="M9" s="28" t="str">
        <f t="shared" si="0"/>
        <v>W9</v>
      </c>
      <c r="N9" s="28" t="str">
        <f t="shared" si="0"/>
        <v>W10</v>
      </c>
      <c r="O9" s="28" t="str">
        <f t="shared" si="0"/>
        <v>W11</v>
      </c>
      <c r="P9" s="28" t="str">
        <f t="shared" si="0"/>
        <v>W12</v>
      </c>
      <c r="Q9" s="28" t="str">
        <f t="shared" si="0"/>
        <v>W13</v>
      </c>
      <c r="R9" s="28" t="str">
        <f t="shared" si="0"/>
        <v>W14</v>
      </c>
      <c r="S9" s="28" t="str">
        <f t="shared" si="0"/>
        <v>W15</v>
      </c>
      <c r="T9" s="28" t="str">
        <f t="shared" si="0"/>
        <v>W16</v>
      </c>
      <c r="U9" s="28" t="str">
        <f t="shared" si="0"/>
        <v>W17</v>
      </c>
      <c r="V9" s="28" t="str">
        <f t="shared" si="0"/>
        <v>W18</v>
      </c>
      <c r="W9" s="28" t="str">
        <f t="shared" si="0"/>
        <v>W19</v>
      </c>
      <c r="X9" s="28" t="str">
        <f t="shared" si="0"/>
        <v>W20</v>
      </c>
      <c r="Y9" s="28" t="str">
        <f t="shared" si="0"/>
        <v>W21</v>
      </c>
      <c r="Z9" s="28" t="str">
        <f t="shared" si="0"/>
        <v>W22</v>
      </c>
      <c r="AA9" s="28" t="str">
        <f t="shared" si="0"/>
        <v>W23</v>
      </c>
      <c r="AB9" s="28" t="str">
        <f t="shared" si="0"/>
        <v>W24</v>
      </c>
      <c r="AC9" s="28" t="str">
        <f t="shared" si="0"/>
        <v>W25</v>
      </c>
      <c r="AD9" s="28" t="str">
        <f t="shared" si="0"/>
        <v>W26</v>
      </c>
      <c r="AE9" s="28" t="str">
        <f t="shared" si="0"/>
        <v>W27</v>
      </c>
      <c r="AF9" s="28" t="str">
        <f t="shared" si="0"/>
        <v>W28</v>
      </c>
      <c r="AG9" s="28" t="str">
        <f t="shared" si="0"/>
        <v>W29</v>
      </c>
      <c r="AH9" s="28" t="str">
        <f t="shared" si="0"/>
        <v>W30</v>
      </c>
      <c r="AI9" s="28" t="str">
        <f t="shared" si="0"/>
        <v>W31</v>
      </c>
      <c r="AJ9" s="28" t="str">
        <f t="shared" si="0"/>
        <v>W32</v>
      </c>
      <c r="AK9" s="28" t="str">
        <f t="shared" si="0"/>
        <v>W33</v>
      </c>
      <c r="AL9" s="28" t="str">
        <f t="shared" si="0"/>
        <v>W34</v>
      </c>
      <c r="AM9" s="28" t="str">
        <f t="shared" si="0"/>
        <v>W35</v>
      </c>
      <c r="AN9" s="28" t="str">
        <f t="shared" si="0"/>
        <v>W36</v>
      </c>
      <c r="AO9" s="28" t="str">
        <f t="shared" si="0"/>
        <v>W37</v>
      </c>
      <c r="AP9" s="28" t="str">
        <f t="shared" si="0"/>
        <v>W38</v>
      </c>
      <c r="AQ9" s="28" t="str">
        <f t="shared" si="0"/>
        <v>W39</v>
      </c>
      <c r="AR9" s="28" t="str">
        <f t="shared" si="0"/>
        <v>W40</v>
      </c>
    </row>
    <row r="10" spans="2:44" ht="14.25" customHeight="1" x14ac:dyDescent="0.25">
      <c r="B10" s="29" t="s">
        <v>4</v>
      </c>
      <c r="C10" s="30" t="s">
        <v>18</v>
      </c>
      <c r="D10" s="30" t="s">
        <v>5</v>
      </c>
      <c r="E10" s="31" t="s">
        <v>6</v>
      </c>
      <c r="F10" s="31" t="s">
        <v>56</v>
      </c>
      <c r="G10" s="31" t="s">
        <v>19</v>
      </c>
      <c r="H10" s="32">
        <f>Iniciodelproyecto-WEEKDAY(Iniciodelproyecto,1)+2+7*(SemanaParaMostrar)</f>
        <v>45677</v>
      </c>
      <c r="I10" s="32">
        <f t="shared" ref="I10:AR10" si="1">H10+7</f>
        <v>45684</v>
      </c>
      <c r="J10" s="32">
        <f t="shared" si="1"/>
        <v>45691</v>
      </c>
      <c r="K10" s="32">
        <f t="shared" si="1"/>
        <v>45698</v>
      </c>
      <c r="L10" s="32">
        <f t="shared" si="1"/>
        <v>45705</v>
      </c>
      <c r="M10" s="32">
        <f t="shared" si="1"/>
        <v>45712</v>
      </c>
      <c r="N10" s="32">
        <f t="shared" si="1"/>
        <v>45719</v>
      </c>
      <c r="O10" s="32">
        <f t="shared" si="1"/>
        <v>45726</v>
      </c>
      <c r="P10" s="32">
        <f t="shared" si="1"/>
        <v>45733</v>
      </c>
      <c r="Q10" s="32">
        <f t="shared" si="1"/>
        <v>45740</v>
      </c>
      <c r="R10" s="32">
        <f t="shared" si="1"/>
        <v>45747</v>
      </c>
      <c r="S10" s="32">
        <f t="shared" si="1"/>
        <v>45754</v>
      </c>
      <c r="T10" s="32">
        <f t="shared" si="1"/>
        <v>45761</v>
      </c>
      <c r="U10" s="32">
        <f t="shared" si="1"/>
        <v>45768</v>
      </c>
      <c r="V10" s="32">
        <f t="shared" si="1"/>
        <v>45775</v>
      </c>
      <c r="W10" s="32">
        <f t="shared" si="1"/>
        <v>45782</v>
      </c>
      <c r="X10" s="32">
        <f t="shared" si="1"/>
        <v>45789</v>
      </c>
      <c r="Y10" s="32">
        <f t="shared" si="1"/>
        <v>45796</v>
      </c>
      <c r="Z10" s="32">
        <f t="shared" si="1"/>
        <v>45803</v>
      </c>
      <c r="AA10" s="32">
        <f t="shared" si="1"/>
        <v>45810</v>
      </c>
      <c r="AB10" s="32">
        <f t="shared" si="1"/>
        <v>45817</v>
      </c>
      <c r="AC10" s="32">
        <f t="shared" si="1"/>
        <v>45824</v>
      </c>
      <c r="AD10" s="32">
        <f t="shared" si="1"/>
        <v>45831</v>
      </c>
      <c r="AE10" s="32">
        <f t="shared" si="1"/>
        <v>45838</v>
      </c>
      <c r="AF10" s="32">
        <f t="shared" si="1"/>
        <v>45845</v>
      </c>
      <c r="AG10" s="32">
        <f t="shared" si="1"/>
        <v>45852</v>
      </c>
      <c r="AH10" s="32">
        <f t="shared" si="1"/>
        <v>45859</v>
      </c>
      <c r="AI10" s="32">
        <f t="shared" si="1"/>
        <v>45866</v>
      </c>
      <c r="AJ10" s="32">
        <f t="shared" si="1"/>
        <v>45873</v>
      </c>
      <c r="AK10" s="32">
        <f t="shared" si="1"/>
        <v>45880</v>
      </c>
      <c r="AL10" s="32">
        <f t="shared" si="1"/>
        <v>45887</v>
      </c>
      <c r="AM10" s="32">
        <f t="shared" si="1"/>
        <v>45894</v>
      </c>
      <c r="AN10" s="32">
        <f t="shared" si="1"/>
        <v>45901</v>
      </c>
      <c r="AO10" s="32">
        <f t="shared" si="1"/>
        <v>45908</v>
      </c>
      <c r="AP10" s="32">
        <f t="shared" si="1"/>
        <v>45915</v>
      </c>
      <c r="AQ10" s="32">
        <f t="shared" si="1"/>
        <v>45922</v>
      </c>
      <c r="AR10" s="32">
        <f t="shared" si="1"/>
        <v>45929</v>
      </c>
    </row>
    <row r="11" spans="2:44" s="6" customFormat="1" ht="27" customHeight="1" x14ac:dyDescent="0.25">
      <c r="B11" s="54" t="s">
        <v>20</v>
      </c>
      <c r="C11" s="53">
        <f>NETWORKDAYS(E11,F11)</f>
        <v>5</v>
      </c>
      <c r="D11" s="12">
        <v>1</v>
      </c>
      <c r="E11" s="37">
        <v>45698</v>
      </c>
      <c r="F11" s="37">
        <v>45703</v>
      </c>
      <c r="G11" s="52">
        <f>WEEKNUM(E11)</f>
        <v>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spans="2:44" s="6" customFormat="1" ht="27" customHeight="1" x14ac:dyDescent="0.25">
      <c r="B12" s="55" t="s">
        <v>21</v>
      </c>
      <c r="C12" s="53"/>
      <c r="D12" s="12"/>
      <c r="E12" s="37"/>
      <c r="F12" s="37"/>
      <c r="G12" s="5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2:44" s="6" customFormat="1" ht="27" customHeight="1" x14ac:dyDescent="0.25">
      <c r="B13" s="36" t="s">
        <v>22</v>
      </c>
      <c r="C13" s="53">
        <f t="shared" ref="C13:C59" si="2">NETWORKDAYS(E13,F13)</f>
        <v>1</v>
      </c>
      <c r="D13" s="12">
        <v>1</v>
      </c>
      <c r="E13" s="37">
        <v>45705</v>
      </c>
      <c r="F13" s="37">
        <v>45705</v>
      </c>
      <c r="G13" s="52">
        <f t="shared" ref="G13:G64" si="3">WEEKNUM(E13)</f>
        <v>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2:44" s="6" customFormat="1" ht="27" customHeight="1" x14ac:dyDescent="0.25">
      <c r="B14" s="6" t="s">
        <v>25</v>
      </c>
      <c r="C14" s="53">
        <f t="shared" si="2"/>
        <v>1</v>
      </c>
      <c r="D14" s="12">
        <v>1</v>
      </c>
      <c r="E14" s="37">
        <v>45706</v>
      </c>
      <c r="F14" s="37">
        <v>45706</v>
      </c>
      <c r="G14" s="52">
        <f t="shared" si="3"/>
        <v>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2:44" s="6" customFormat="1" ht="27" customHeight="1" x14ac:dyDescent="0.25">
      <c r="B15" s="6" t="s">
        <v>26</v>
      </c>
      <c r="C15" s="53">
        <f t="shared" si="2"/>
        <v>1</v>
      </c>
      <c r="D15" s="12">
        <v>1</v>
      </c>
      <c r="E15" s="37">
        <v>45707</v>
      </c>
      <c r="F15" s="37">
        <v>45707</v>
      </c>
      <c r="G15" s="52">
        <f t="shared" si="3"/>
        <v>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2:44" s="6" customFormat="1" ht="27" customHeight="1" x14ac:dyDescent="0.25">
      <c r="B16" s="36" t="s">
        <v>23</v>
      </c>
      <c r="C16" s="53">
        <f t="shared" si="2"/>
        <v>1</v>
      </c>
      <c r="D16" s="12">
        <v>1</v>
      </c>
      <c r="E16" s="37">
        <v>45708</v>
      </c>
      <c r="F16" s="37">
        <v>45708</v>
      </c>
      <c r="G16" s="52">
        <f t="shared" si="3"/>
        <v>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spans="2:44" s="6" customFormat="1" ht="27" customHeight="1" x14ac:dyDescent="0.25">
      <c r="B17" s="36" t="s">
        <v>24</v>
      </c>
      <c r="C17" s="53">
        <f t="shared" si="2"/>
        <v>1</v>
      </c>
      <c r="D17" s="12">
        <v>1</v>
      </c>
      <c r="E17" s="37">
        <v>45709</v>
      </c>
      <c r="F17" s="37">
        <v>45709</v>
      </c>
      <c r="G17" s="52">
        <f t="shared" si="3"/>
        <v>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spans="2:44" s="6" customFormat="1" ht="27" customHeight="1" x14ac:dyDescent="0.25">
      <c r="B18" s="55" t="s">
        <v>27</v>
      </c>
      <c r="C18" s="53"/>
      <c r="D18" s="12"/>
      <c r="E18" s="37"/>
      <c r="F18" s="37"/>
      <c r="G18" s="5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2:44" s="6" customFormat="1" ht="27" customHeight="1" x14ac:dyDescent="0.25">
      <c r="B19" s="34" t="s">
        <v>31</v>
      </c>
      <c r="C19" s="53">
        <f t="shared" ref="C19:C20" si="4">NETWORKDAYS(E19,F19)</f>
        <v>1</v>
      </c>
      <c r="D19" s="12">
        <v>1</v>
      </c>
      <c r="E19" s="37">
        <v>45712</v>
      </c>
      <c r="F19" s="37">
        <v>45712</v>
      </c>
      <c r="G19" s="52">
        <f t="shared" si="3"/>
        <v>9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spans="2:44" s="6" customFormat="1" ht="27" customHeight="1" x14ac:dyDescent="0.25">
      <c r="B20" s="34" t="s">
        <v>32</v>
      </c>
      <c r="C20" s="53">
        <f t="shared" si="4"/>
        <v>1</v>
      </c>
      <c r="D20" s="12">
        <v>1</v>
      </c>
      <c r="E20" s="37">
        <v>45712</v>
      </c>
      <c r="F20" s="37">
        <v>45712</v>
      </c>
      <c r="G20" s="52">
        <f t="shared" si="3"/>
        <v>9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2:44" s="6" customFormat="1" ht="27" customHeight="1" x14ac:dyDescent="0.25">
      <c r="B21" s="34" t="s">
        <v>29</v>
      </c>
      <c r="C21" s="53">
        <f t="shared" si="2"/>
        <v>1</v>
      </c>
      <c r="D21" s="12">
        <v>1</v>
      </c>
      <c r="E21" s="37">
        <v>45712</v>
      </c>
      <c r="F21" s="37">
        <v>45712</v>
      </c>
      <c r="G21" s="52">
        <f t="shared" si="3"/>
        <v>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2:44" s="6" customFormat="1" ht="27" customHeight="1" x14ac:dyDescent="0.25">
      <c r="B22" s="34" t="s">
        <v>28</v>
      </c>
      <c r="C22" s="53">
        <f t="shared" si="2"/>
        <v>1</v>
      </c>
      <c r="D22" s="12">
        <v>1</v>
      </c>
      <c r="E22" s="37">
        <v>45713</v>
      </c>
      <c r="F22" s="37">
        <v>45713</v>
      </c>
      <c r="G22" s="52">
        <f t="shared" si="3"/>
        <v>9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2:44" s="6" customFormat="1" ht="27" customHeight="1" x14ac:dyDescent="0.25">
      <c r="B23" s="34" t="s">
        <v>30</v>
      </c>
      <c r="C23" s="53">
        <f t="shared" ref="C23:C29" si="5">NETWORKDAYS(E23,F23)</f>
        <v>1</v>
      </c>
      <c r="D23" s="12">
        <v>1</v>
      </c>
      <c r="E23" s="37">
        <v>45348</v>
      </c>
      <c r="F23" s="37">
        <v>45348</v>
      </c>
      <c r="G23" s="52">
        <f t="shared" si="3"/>
        <v>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2:44" s="6" customFormat="1" ht="27" customHeight="1" x14ac:dyDescent="0.25">
      <c r="B24" s="54" t="s">
        <v>33</v>
      </c>
      <c r="C24" s="53"/>
      <c r="D24" s="12"/>
      <c r="E24" s="37"/>
      <c r="F24" s="37"/>
      <c r="G24" s="5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2:44" s="6" customFormat="1" ht="27" customHeight="1" x14ac:dyDescent="0.25">
      <c r="B25" s="6" t="s">
        <v>34</v>
      </c>
      <c r="C25" s="53">
        <f t="shared" si="5"/>
        <v>1</v>
      </c>
      <c r="D25" s="12">
        <v>1</v>
      </c>
      <c r="E25" s="37">
        <v>45715</v>
      </c>
      <c r="F25" s="37">
        <v>45715</v>
      </c>
      <c r="G25" s="52">
        <f t="shared" si="3"/>
        <v>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2:44" s="6" customFormat="1" ht="27" customHeight="1" x14ac:dyDescent="0.25">
      <c r="B26" s="34" t="s">
        <v>35</v>
      </c>
      <c r="C26" s="53">
        <f t="shared" si="5"/>
        <v>1</v>
      </c>
      <c r="D26" s="12">
        <v>1</v>
      </c>
      <c r="E26" s="37">
        <v>45719</v>
      </c>
      <c r="F26" s="37">
        <v>45719</v>
      </c>
      <c r="G26" s="52">
        <f t="shared" si="3"/>
        <v>10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2:44" s="6" customFormat="1" ht="27" customHeight="1" x14ac:dyDescent="0.25">
      <c r="B27" s="34" t="s">
        <v>36</v>
      </c>
      <c r="C27" s="53">
        <f t="shared" si="5"/>
        <v>1</v>
      </c>
      <c r="D27" s="12">
        <v>1</v>
      </c>
      <c r="E27" s="37">
        <v>45720</v>
      </c>
      <c r="F27" s="37">
        <v>45720</v>
      </c>
      <c r="G27" s="52">
        <f t="shared" si="3"/>
        <v>10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2:44" s="6" customFormat="1" ht="27" customHeight="1" x14ac:dyDescent="0.25">
      <c r="B28" s="34" t="s">
        <v>37</v>
      </c>
      <c r="C28" s="53">
        <f t="shared" si="5"/>
        <v>1</v>
      </c>
      <c r="D28" s="12">
        <v>1</v>
      </c>
      <c r="E28" s="37">
        <v>45721</v>
      </c>
      <c r="F28" s="37">
        <v>45721</v>
      </c>
      <c r="G28" s="52">
        <f t="shared" si="3"/>
        <v>10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spans="2:44" s="6" customFormat="1" ht="27" customHeight="1" x14ac:dyDescent="0.25">
      <c r="B29" s="34" t="s">
        <v>38</v>
      </c>
      <c r="C29" s="53">
        <f t="shared" si="5"/>
        <v>1</v>
      </c>
      <c r="D29" s="12">
        <v>1</v>
      </c>
      <c r="E29" s="37">
        <v>45721</v>
      </c>
      <c r="F29" s="37">
        <v>45721</v>
      </c>
      <c r="G29" s="52">
        <f t="shared" si="3"/>
        <v>10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2:44" s="6" customFormat="1" ht="27" customHeight="1" x14ac:dyDescent="0.25">
      <c r="B30" s="56" t="s">
        <v>40</v>
      </c>
      <c r="C30" s="53"/>
      <c r="D30" s="12"/>
      <c r="E30" s="37"/>
      <c r="F30" s="37"/>
      <c r="G30" s="5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spans="2:44" s="6" customFormat="1" ht="27" customHeight="1" x14ac:dyDescent="0.25">
      <c r="B31" s="34" t="s">
        <v>41</v>
      </c>
      <c r="C31" s="53">
        <f t="shared" ref="C31:C32" si="6">NETWORKDAYS(E31,F31)</f>
        <v>1</v>
      </c>
      <c r="D31" s="12">
        <v>1</v>
      </c>
      <c r="E31" s="37">
        <v>45719</v>
      </c>
      <c r="F31" s="37">
        <v>45719</v>
      </c>
      <c r="G31" s="52">
        <f t="shared" si="3"/>
        <v>10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2:44" s="6" customFormat="1" ht="27" customHeight="1" x14ac:dyDescent="0.25">
      <c r="B32" s="34" t="s">
        <v>47</v>
      </c>
      <c r="C32" s="53">
        <f t="shared" si="6"/>
        <v>1</v>
      </c>
      <c r="D32" s="12">
        <v>1</v>
      </c>
      <c r="E32" s="37">
        <v>45722</v>
      </c>
      <c r="F32" s="37">
        <v>45722</v>
      </c>
      <c r="G32" s="52">
        <f t="shared" si="3"/>
        <v>10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2:44" s="6" customFormat="1" ht="27" customHeight="1" x14ac:dyDescent="0.25">
      <c r="B33" s="34" t="s">
        <v>39</v>
      </c>
      <c r="C33" s="53">
        <f>NETWORKDAYS(E33,F33)</f>
        <v>1</v>
      </c>
      <c r="D33" s="12">
        <v>1</v>
      </c>
      <c r="E33" s="37">
        <v>45723</v>
      </c>
      <c r="F33" s="37">
        <v>45723</v>
      </c>
      <c r="G33" s="52">
        <f>WEEKNUM(E33)</f>
        <v>10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2:44" s="6" customFormat="1" ht="27" customHeight="1" x14ac:dyDescent="0.25">
      <c r="B34" s="34" t="s">
        <v>43</v>
      </c>
      <c r="C34" s="53">
        <f t="shared" ref="C34" si="7">NETWORKDAYS(E34,F34)</f>
        <v>1</v>
      </c>
      <c r="D34" s="12">
        <v>1</v>
      </c>
      <c r="E34" s="37">
        <v>45730</v>
      </c>
      <c r="F34" s="37">
        <v>45730</v>
      </c>
      <c r="G34" s="52">
        <f>WEEKNUM(E34)</f>
        <v>11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2:44" s="6" customFormat="1" ht="27" customHeight="1" x14ac:dyDescent="0.25">
      <c r="B35" s="34" t="s">
        <v>45</v>
      </c>
      <c r="C35" s="53">
        <f t="shared" ref="C35" si="8">NETWORKDAYS(E35,F35)</f>
        <v>1</v>
      </c>
      <c r="D35" s="12">
        <v>1</v>
      </c>
      <c r="E35" s="37">
        <v>45751</v>
      </c>
      <c r="F35" s="37">
        <v>45752</v>
      </c>
      <c r="G35" s="52">
        <f>WEEKNUM(E35)</f>
        <v>14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2:44" s="6" customFormat="1" ht="27" customHeight="1" x14ac:dyDescent="0.25">
      <c r="B36" s="56" t="s">
        <v>48</v>
      </c>
      <c r="C36" s="53"/>
      <c r="D36" s="12"/>
      <c r="E36" s="37"/>
      <c r="F36" s="37"/>
      <c r="G36" s="5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2:44" s="6" customFormat="1" ht="27" customHeight="1" x14ac:dyDescent="0.25">
      <c r="B37" s="6" t="s">
        <v>42</v>
      </c>
      <c r="C37" s="53">
        <f t="shared" ref="C37" si="9">NETWORKDAYS(E37,F37)</f>
        <v>1</v>
      </c>
      <c r="D37" s="12">
        <v>1</v>
      </c>
      <c r="E37" s="37">
        <v>45726</v>
      </c>
      <c r="F37" s="37">
        <v>45726</v>
      </c>
      <c r="G37" s="6">
        <f>WEEKNUM(E37)</f>
        <v>11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2:44" s="6" customFormat="1" ht="27" customHeight="1" x14ac:dyDescent="0.25">
      <c r="B38" s="34" t="s">
        <v>50</v>
      </c>
      <c r="C38" s="53">
        <v>8</v>
      </c>
      <c r="D38" s="12"/>
      <c r="E38" s="37">
        <v>45726</v>
      </c>
      <c r="F38" s="37">
        <v>45869</v>
      </c>
      <c r="G38" s="52">
        <f>WEEKNUM(E38)</f>
        <v>11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2:44" s="6" customFormat="1" ht="27" customHeight="1" x14ac:dyDescent="0.25">
      <c r="B39" s="34" t="s">
        <v>49</v>
      </c>
      <c r="C39" s="53">
        <v>4</v>
      </c>
      <c r="D39" s="12">
        <v>1</v>
      </c>
      <c r="E39" s="37">
        <v>45731</v>
      </c>
      <c r="F39" s="37">
        <v>45869</v>
      </c>
      <c r="G39" s="52">
        <f>WEEKNUM(E39)</f>
        <v>11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2:44" s="6" customFormat="1" ht="27" customHeight="1" x14ac:dyDescent="0.25">
      <c r="B40" s="6" t="s">
        <v>51</v>
      </c>
      <c r="C40" s="53">
        <v>5</v>
      </c>
      <c r="D40" s="12"/>
      <c r="E40" s="37">
        <v>45726</v>
      </c>
      <c r="F40" s="37">
        <v>45869</v>
      </c>
      <c r="G40" s="52">
        <f t="shared" ref="G40:G48" si="10">WEEKNUM(E40)</f>
        <v>11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2:44" s="6" customFormat="1" ht="27" customHeight="1" x14ac:dyDescent="0.25">
      <c r="B41" s="56" t="s">
        <v>52</v>
      </c>
      <c r="C41" s="53"/>
      <c r="D41" s="12"/>
      <c r="E41" s="37"/>
      <c r="F41" s="37"/>
      <c r="G41" s="52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2:44" s="6" customFormat="1" ht="27" customHeight="1" x14ac:dyDescent="0.25">
      <c r="B42" s="34" t="s">
        <v>44</v>
      </c>
      <c r="C42" s="53">
        <v>5</v>
      </c>
      <c r="D42" s="12">
        <v>1</v>
      </c>
      <c r="E42" s="37">
        <v>45733</v>
      </c>
      <c r="F42" s="37">
        <v>45737</v>
      </c>
      <c r="G42" s="52">
        <f t="shared" si="10"/>
        <v>12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2:44" s="6" customFormat="1" ht="27" customHeight="1" x14ac:dyDescent="0.25">
      <c r="B43" s="34" t="s">
        <v>46</v>
      </c>
      <c r="C43" s="53">
        <f t="shared" ref="C43" si="11">NETWORKDAYS(E43,F43)</f>
        <v>4</v>
      </c>
      <c r="D43" s="12">
        <v>1</v>
      </c>
      <c r="E43" s="37">
        <v>45762</v>
      </c>
      <c r="F43" s="37">
        <v>45767</v>
      </c>
      <c r="G43" s="52">
        <f t="shared" si="10"/>
        <v>16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2:44" s="6" customFormat="1" ht="27" customHeight="1" x14ac:dyDescent="0.25">
      <c r="B44" s="34" t="s">
        <v>49</v>
      </c>
      <c r="C44" s="53">
        <v>4</v>
      </c>
      <c r="D44" s="12">
        <v>1</v>
      </c>
      <c r="E44" s="37">
        <v>45733</v>
      </c>
      <c r="F44" s="37">
        <v>45838</v>
      </c>
      <c r="G44" s="52">
        <f t="shared" si="10"/>
        <v>12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2:44" s="6" customFormat="1" ht="27" customHeight="1" x14ac:dyDescent="0.25">
      <c r="B45" s="6" t="s">
        <v>51</v>
      </c>
      <c r="C45" s="53">
        <v>5</v>
      </c>
      <c r="D45" s="12"/>
      <c r="E45" s="37">
        <v>45733</v>
      </c>
      <c r="F45" s="37">
        <v>45838</v>
      </c>
      <c r="G45" s="52">
        <f t="shared" si="10"/>
        <v>12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2:44" s="6" customFormat="1" ht="27" customHeight="1" x14ac:dyDescent="0.25">
      <c r="B46" s="56" t="s">
        <v>53</v>
      </c>
      <c r="C46" s="53"/>
      <c r="D46" s="12"/>
      <c r="E46" s="37"/>
      <c r="F46" s="37"/>
      <c r="G46" s="52">
        <f t="shared" si="10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2:44" s="6" customFormat="1" ht="27" customHeight="1" x14ac:dyDescent="0.25">
      <c r="B47" s="34" t="s">
        <v>54</v>
      </c>
      <c r="C47" s="53">
        <v>6</v>
      </c>
      <c r="D47" s="12"/>
      <c r="E47" s="37">
        <v>45705</v>
      </c>
      <c r="F47" s="37">
        <v>45869</v>
      </c>
      <c r="G47" s="52">
        <f t="shared" si="10"/>
        <v>8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2:44" s="6" customFormat="1" ht="27" customHeight="1" x14ac:dyDescent="0.25">
      <c r="B48" s="56" t="s">
        <v>55</v>
      </c>
      <c r="C48" s="53">
        <f t="shared" ref="C48" si="12">NETWORKDAYS(E48,F48)</f>
        <v>40</v>
      </c>
      <c r="D48" s="12"/>
      <c r="E48" s="37">
        <v>45870</v>
      </c>
      <c r="F48" s="37">
        <v>45925</v>
      </c>
      <c r="G48" s="52">
        <f t="shared" si="10"/>
        <v>31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2:44" s="6" customFormat="1" ht="27" customHeight="1" x14ac:dyDescent="0.25">
      <c r="B49" s="34"/>
      <c r="C49" s="53"/>
      <c r="D49" s="12"/>
      <c r="E49" s="37"/>
      <c r="F49" s="37"/>
      <c r="G49" s="5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2:44" s="6" customFormat="1" ht="24" customHeight="1" x14ac:dyDescent="0.25">
      <c r="B50" s="34"/>
      <c r="C50" s="53"/>
      <c r="D50" s="12"/>
      <c r="E50" s="37"/>
      <c r="F50" s="37"/>
      <c r="G50" s="5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2:44" s="6" customFormat="1" ht="27" customHeight="1" x14ac:dyDescent="0.25">
      <c r="B51" s="34"/>
      <c r="C51" s="53"/>
      <c r="D51" s="12"/>
      <c r="E51" s="37"/>
      <c r="F51" s="37"/>
      <c r="G51" s="5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2:44" s="6" customFormat="1" ht="27" customHeight="1" x14ac:dyDescent="0.25">
      <c r="B52" s="35"/>
      <c r="C52" s="53"/>
      <c r="D52" s="12"/>
      <c r="E52" s="37"/>
      <c r="F52" s="37"/>
      <c r="G52" s="52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2:44" s="6" customFormat="1" ht="27" customHeight="1" x14ac:dyDescent="0.25">
      <c r="B53" s="35"/>
      <c r="C53" s="53"/>
      <c r="D53" s="12"/>
      <c r="E53" s="37"/>
      <c r="F53" s="37"/>
      <c r="G53" s="5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2:44" s="6" customFormat="1" ht="27" customHeight="1" x14ac:dyDescent="0.25">
      <c r="B54" s="34"/>
      <c r="C54" s="53"/>
      <c r="D54" s="12"/>
      <c r="E54" s="37"/>
      <c r="F54" s="37"/>
      <c r="G54" s="5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2:44" s="6" customFormat="1" ht="27" customHeight="1" x14ac:dyDescent="0.25">
      <c r="B55" s="36"/>
      <c r="C55" s="53"/>
      <c r="D55" s="12"/>
      <c r="E55" s="37"/>
      <c r="F55" s="37"/>
      <c r="G55" s="5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2:44" s="6" customFormat="1" ht="27" customHeight="1" x14ac:dyDescent="0.25">
      <c r="B56" s="34"/>
      <c r="C56" s="53"/>
      <c r="D56" s="12"/>
      <c r="E56" s="37"/>
      <c r="F56" s="37"/>
      <c r="G56" s="5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2:44" s="6" customFormat="1" ht="27" customHeight="1" x14ac:dyDescent="0.25">
      <c r="B57" s="34"/>
      <c r="C57" s="53"/>
      <c r="D57" s="12"/>
      <c r="E57" s="37"/>
      <c r="F57" s="37"/>
      <c r="G57" s="5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2:44" s="6" customFormat="1" ht="27" customHeight="1" x14ac:dyDescent="0.25">
      <c r="B58" s="34"/>
      <c r="C58" s="53"/>
      <c r="D58" s="12"/>
      <c r="E58" s="37"/>
      <c r="F58" s="37"/>
      <c r="G58" s="5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2:44" s="6" customFormat="1" ht="27" customHeight="1" x14ac:dyDescent="0.25">
      <c r="B59" s="34"/>
      <c r="C59" s="53"/>
      <c r="D59" s="12"/>
      <c r="E59" s="37"/>
      <c r="F59" s="37"/>
      <c r="G59" s="52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2:44" s="6" customFormat="1" ht="23.25" customHeight="1" x14ac:dyDescent="0.25">
      <c r="B60" s="13"/>
      <c r="C60" s="14"/>
      <c r="D60" s="12">
        <v>1</v>
      </c>
      <c r="E60" s="37"/>
      <c r="F60" s="37"/>
      <c r="G60" s="5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2:44" s="6" customFormat="1" ht="23.25" customHeight="1" x14ac:dyDescent="0.25">
      <c r="B61" s="13"/>
      <c r="C61" s="14"/>
      <c r="D61" s="12">
        <v>1</v>
      </c>
      <c r="E61" s="37"/>
      <c r="F61" s="37"/>
      <c r="G61" s="5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2:44" s="6" customFormat="1" ht="23.25" customHeight="1" x14ac:dyDescent="0.25">
      <c r="B62" s="13"/>
      <c r="C62" s="14"/>
      <c r="D62" s="12">
        <v>1</v>
      </c>
      <c r="E62" s="37"/>
      <c r="F62" s="37"/>
      <c r="G62" s="5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2:44" s="6" customFormat="1" ht="23.25" customHeight="1" x14ac:dyDescent="0.25">
      <c r="B63" s="13"/>
      <c r="C63" s="14"/>
      <c r="D63" s="12">
        <v>1</v>
      </c>
      <c r="E63" s="37"/>
      <c r="F63" s="37"/>
      <c r="G63" s="5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2:44" s="6" customFormat="1" ht="23.25" customHeight="1" x14ac:dyDescent="0.25">
      <c r="B64" s="13"/>
      <c r="C64" s="14"/>
      <c r="D64" s="12">
        <v>1</v>
      </c>
      <c r="E64" s="37"/>
      <c r="F64" s="37"/>
      <c r="G64" s="5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s="26" customFormat="1" ht="23.25" customHeight="1" x14ac:dyDescent="0.25">
      <c r="A65" s="24"/>
      <c r="B65" s="15" t="s">
        <v>7</v>
      </c>
      <c r="C65" s="16"/>
      <c r="D65" s="17"/>
      <c r="E65" s="25"/>
      <c r="F65" s="25"/>
      <c r="G65" s="1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1"/>
      <c r="AL65" s="11"/>
      <c r="AM65" s="11"/>
      <c r="AN65" s="11"/>
      <c r="AO65" s="11"/>
      <c r="AP65" s="11"/>
      <c r="AQ65" s="11"/>
      <c r="AR65" s="11"/>
    </row>
  </sheetData>
  <mergeCells count="6">
    <mergeCell ref="N4:O5"/>
    <mergeCell ref="B9:G9"/>
    <mergeCell ref="E8:F8"/>
    <mergeCell ref="B1:L3"/>
    <mergeCell ref="B4:I5"/>
    <mergeCell ref="K4:M5"/>
  </mergeCells>
  <conditionalFormatting sqref="D48:D64 C43:D43 C11:D37 C39:D39 D42 C48:C59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{13895304-D50E-4049-BBDB-E02B67737184}</x14:id>
        </ext>
      </extLst>
    </cfRule>
  </conditionalFormatting>
  <conditionalFormatting sqref="H11:AJ64">
    <cfRule type="expression" dxfId="16" priority="1047">
      <formula>AND(task_start&gt;=H$10,task_real_start&lt;I$10)</formula>
    </cfRule>
    <cfRule type="expression" dxfId="15" priority="1048" stopIfTrue="1">
      <formula>AND(task_real_end&gt;=H$10,task_end&lt;I$10)</formula>
    </cfRule>
    <cfRule type="expression" dxfId="14" priority="1049">
      <formula>AND(task_start&lt;=H$10,ROUNDDOWN((task_end-task_start+1)*task_progress,0)+task_start-1&gt;=H$10)</formula>
    </cfRule>
    <cfRule type="expression" dxfId="13" priority="1050" stopIfTrue="1">
      <formula>AND(task_end&gt;=H$10,task_start&lt;I$10)</formula>
    </cfRule>
  </conditionalFormatting>
  <conditionalFormatting sqref="H11:AQ64">
    <cfRule type="expression" dxfId="12" priority="1065">
      <formula>AND(task_start&lt;I$10,ROUNDDOWN((task_end-task_start)*task_progress,0)+task_start-1&gt;H$10)</formula>
    </cfRule>
    <cfRule type="expression" dxfId="11" priority="1066" stopIfTrue="1">
      <formula>AND(task_end&gt;=H$10,task_start&lt;I$10)</formula>
    </cfRule>
  </conditionalFormatting>
  <conditionalFormatting sqref="H8:AR8">
    <cfRule type="expression" dxfId="10" priority="9">
      <formula>AND(TODAY()&gt;=H$10,TODAY()&lt;I$10)</formula>
    </cfRule>
    <cfRule type="expression" dxfId="9" priority="10">
      <formula>AND(task_start&gt;=H$10,task_real_start&lt;I$10)</formula>
    </cfRule>
    <cfRule type="expression" dxfId="8" priority="11" stopIfTrue="1">
      <formula>AND(task_real_end&gt;=H$10,task_end&lt;I$10)</formula>
    </cfRule>
    <cfRule type="expression" dxfId="7" priority="12">
      <formula>AND(task_start&lt;=H$10,ROUNDDOWN((task_end-task_start+1)*task_progress,0)+task_start-1&gt;=H$10)</formula>
    </cfRule>
    <cfRule type="expression" dxfId="6" priority="13" stopIfTrue="1">
      <formula>AND(task_end&gt;=H$10,task_start&lt;I$10)</formula>
    </cfRule>
    <cfRule type="expression" dxfId="5" priority="14" stopIfTrue="1">
      <formula>AND(task_real_end&gt;=H$10,task_end&lt;H$10)</formula>
    </cfRule>
    <cfRule type="expression" dxfId="4" priority="15">
      <formula>AND(task_start&lt;I$10,ROUNDDOWN((task_end-task_start)*task_progress,0)+task_start-1&gt;H$10)</formula>
    </cfRule>
    <cfRule type="expression" dxfId="3" priority="16" stopIfTrue="1">
      <formula>AND(task_end&gt;=H$10,task_start&lt;I$10)</formula>
    </cfRule>
  </conditionalFormatting>
  <conditionalFormatting sqref="H11:AR64">
    <cfRule type="expression" dxfId="2" priority="1061" stopIfTrue="1">
      <formula>AND(task_real_end&gt;=H$10,task_end&lt;H$10)</formula>
    </cfRule>
  </conditionalFormatting>
  <conditionalFormatting sqref="AR11:AR64">
    <cfRule type="expression" dxfId="1" priority="1062">
      <formula>AND(task_start&lt;AS$9,ROUNDDOWN((task_end-task_start)*task_progress,0)+task_start-1&gt;AR$10)</formula>
    </cfRule>
    <cfRule type="expression" dxfId="0" priority="1063" stopIfTrue="1">
      <formula>AND(task_end&gt;=AR$10,task_start&lt;AS$9)</formula>
    </cfRule>
  </conditionalFormatting>
  <conditionalFormatting sqref="C40:D41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{CABEABEE-0B64-4038-AE37-9317D3AB33FB}</x14:id>
        </ext>
      </extLst>
    </cfRule>
  </conditionalFormatting>
  <conditionalFormatting sqref="C38:D38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{59B8353E-F272-4C88-85B8-030381374784}</x14:id>
        </ext>
      </extLst>
    </cfRule>
  </conditionalFormatting>
  <conditionalFormatting sqref="C44:D44 C46:D47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{A840E7F7-DB09-48FB-96E1-B14F04B91916}</x14:id>
        </ext>
      </extLst>
    </cfRule>
  </conditionalFormatting>
  <conditionalFormatting sqref="C45:D45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{E3CF1853-F104-440E-AD2F-DB9EBDDEA72F}</x14:id>
        </ext>
      </extLst>
    </cfRule>
  </conditionalFormatting>
  <conditionalFormatting sqref="C42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{E181A179-C3B6-4AA9-AE4C-67BDA4BBBD14}</x14:id>
        </ext>
      </extLst>
    </cfRule>
  </conditionalFormatting>
  <dataValidations disablePrompts="1" count="1">
    <dataValidation type="whole" operator="greaterThanOrEqual" allowBlank="1" showInputMessage="1" promptTitle="Mostrar semana" prompt="Al cambiar este número, se desplazará la vista del diagrama de Gantt." sqref="C8" xr:uid="{65EB2E91-36FA-4D15-A261-06D521B168F7}">
      <formula1>1</formula1>
    </dataValidation>
  </dataValidations>
  <pageMargins left="0.7" right="0.7" top="0.75" bottom="0.75" header="0.3" footer="0.3"/>
  <pageSetup paperSize="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895304-D50E-4049-BBDB-E02B677371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D48:D64 C43:D43 C11:D37 C39:D39 D42 C48:C59</xm:sqref>
        </x14:conditionalFormatting>
        <x14:conditionalFormatting xmlns:xm="http://schemas.microsoft.com/office/excel/2006/main">
          <x14:cfRule type="dataBar" id="{CABEABEE-0B64-4038-AE37-9317D3AB33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C40:D41</xm:sqref>
        </x14:conditionalFormatting>
        <x14:conditionalFormatting xmlns:xm="http://schemas.microsoft.com/office/excel/2006/main">
          <x14:cfRule type="dataBar" id="{59B8353E-F272-4C88-85B8-0303813747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C38:D38</xm:sqref>
        </x14:conditionalFormatting>
        <x14:conditionalFormatting xmlns:xm="http://schemas.microsoft.com/office/excel/2006/main">
          <x14:cfRule type="dataBar" id="{A840E7F7-DB09-48FB-96E1-B14F04B919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C44:D44 C46:D47</xm:sqref>
        </x14:conditionalFormatting>
        <x14:conditionalFormatting xmlns:xm="http://schemas.microsoft.com/office/excel/2006/main">
          <x14:cfRule type="dataBar" id="{E3CF1853-F104-440E-AD2F-DB9EBDDEA7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C45:D45</xm:sqref>
        </x14:conditionalFormatting>
        <x14:conditionalFormatting xmlns:xm="http://schemas.microsoft.com/office/excel/2006/main">
          <x14:cfRule type="dataBar" id="{E181A179-C3B6-4AA9-AE4C-67BDA4BBBD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272A-8A31-4DB0-A775-750901160536}">
  <sheetPr codeName="Hoja11"/>
  <dimension ref="A1:D9"/>
  <sheetViews>
    <sheetView showGridLines="0" zoomScale="83" zoomScaleNormal="85" workbookViewId="0">
      <selection activeCell="M35" sqref="M35"/>
    </sheetView>
  </sheetViews>
  <sheetFormatPr defaultColWidth="11.42578125" defaultRowHeight="15" x14ac:dyDescent="0.25"/>
  <cols>
    <col min="2" max="2" width="34.42578125" customWidth="1"/>
    <col min="3" max="3" width="13.5703125" style="2" customWidth="1"/>
    <col min="4" max="4" width="13.42578125" style="2" customWidth="1"/>
  </cols>
  <sheetData>
    <row r="1" spans="1:4" x14ac:dyDescent="0.25">
      <c r="A1" t="s">
        <v>8</v>
      </c>
      <c r="B1" t="s">
        <v>4</v>
      </c>
      <c r="C1" s="2" t="s">
        <v>9</v>
      </c>
      <c r="D1" s="2" t="s">
        <v>10</v>
      </c>
    </row>
    <row r="2" spans="1:4" x14ac:dyDescent="0.25">
      <c r="A2" t="s">
        <v>11</v>
      </c>
      <c r="B2" t="s">
        <v>12</v>
      </c>
      <c r="C2" s="2">
        <v>5</v>
      </c>
      <c r="D2" s="2">
        <v>4</v>
      </c>
    </row>
    <row r="3" spans="1:4" x14ac:dyDescent="0.25">
      <c r="A3" t="s">
        <v>11</v>
      </c>
      <c r="B3" t="s">
        <v>13</v>
      </c>
      <c r="C3" s="2">
        <v>5</v>
      </c>
      <c r="D3" s="2">
        <v>2</v>
      </c>
    </row>
    <row r="4" spans="1:4" x14ac:dyDescent="0.25">
      <c r="A4" t="s">
        <v>14</v>
      </c>
      <c r="B4" t="s">
        <v>15</v>
      </c>
      <c r="C4" s="2">
        <v>3</v>
      </c>
      <c r="D4" s="2">
        <v>3</v>
      </c>
    </row>
    <row r="5" spans="1:4" x14ac:dyDescent="0.25">
      <c r="A5" t="s">
        <v>16</v>
      </c>
      <c r="B5" t="s">
        <v>17</v>
      </c>
      <c r="C5" s="2">
        <v>5</v>
      </c>
      <c r="D5" s="2">
        <v>5</v>
      </c>
    </row>
    <row r="6" spans="1:4" x14ac:dyDescent="0.25">
      <c r="A6" t="s">
        <v>11</v>
      </c>
      <c r="B6" t="s">
        <v>12</v>
      </c>
      <c r="C6" s="2">
        <v>2</v>
      </c>
      <c r="D6" s="2">
        <v>4</v>
      </c>
    </row>
    <row r="7" spans="1:4" x14ac:dyDescent="0.25">
      <c r="A7" t="s">
        <v>11</v>
      </c>
      <c r="B7" t="s">
        <v>13</v>
      </c>
      <c r="C7" s="2">
        <v>1</v>
      </c>
      <c r="D7" s="2">
        <v>2</v>
      </c>
    </row>
    <row r="8" spans="1:4" x14ac:dyDescent="0.25">
      <c r="A8" t="s">
        <v>14</v>
      </c>
      <c r="B8" t="s">
        <v>15</v>
      </c>
      <c r="C8" s="2">
        <v>4</v>
      </c>
      <c r="D8" s="2">
        <v>3</v>
      </c>
    </row>
    <row r="9" spans="1:4" x14ac:dyDescent="0.25">
      <c r="A9" t="s">
        <v>16</v>
      </c>
      <c r="B9" t="s">
        <v>17</v>
      </c>
      <c r="C9" s="2">
        <v>3</v>
      </c>
      <c r="D9" s="2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19E79267E5F4AB0FD712DCCCCEF4E" ma:contentTypeVersion="13" ma:contentTypeDescription="Crear nuevo documento." ma:contentTypeScope="" ma:versionID="3ad1e9e9bbd9c4e281f42947c0f7b9ed">
  <xsd:schema xmlns:xsd="http://www.w3.org/2001/XMLSchema" xmlns:xs="http://www.w3.org/2001/XMLSchema" xmlns:p="http://schemas.microsoft.com/office/2006/metadata/properties" xmlns:ns2="7b338849-c321-419a-b516-c65118f0b4f8" xmlns:ns3="469528b9-6c8d-46d5-a513-da380458d4e9" targetNamespace="http://schemas.microsoft.com/office/2006/metadata/properties" ma:root="true" ma:fieldsID="2238c9e941f78122967f8ee80c2edcf3" ns2:_="" ns3:_="">
    <xsd:import namespace="7b338849-c321-419a-b516-c65118f0b4f8"/>
    <xsd:import namespace="469528b9-6c8d-46d5-a513-da380458d4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38849-c321-419a-b516-c65118f0b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e9515e-2c17-4f3a-9cf3-f045cceb8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528b9-6c8d-46d5-a513-da380458d4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f1624b-6965-43d7-a278-6d835c1c52f9}" ma:internalName="TaxCatchAll" ma:showField="CatchAllData" ma:web="469528b9-6c8d-46d5-a513-da380458d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9528b9-6c8d-46d5-a513-da380458d4e9" xsi:nil="true"/>
    <lcf76f155ced4ddcb4097134ff3c332f xmlns="7b338849-c321-419a-b516-c65118f0b4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099046-92D8-4BCB-8A9E-CEE9635FBC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338849-c321-419a-b516-c65118f0b4f8"/>
    <ds:schemaRef ds:uri="469528b9-6c8d-46d5-a513-da380458d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DA83E-2A3C-4EA2-9DE5-A941901F8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0CB47D-1D61-4EFC-B7D7-71335915BC7A}">
  <ds:schemaRefs>
    <ds:schemaRef ds:uri="http://schemas.microsoft.com/office/2006/metadata/properties"/>
    <ds:schemaRef ds:uri="http://schemas.microsoft.com/office/infopath/2007/PartnerControls"/>
    <ds:schemaRef ds:uri="469528b9-6c8d-46d5-a513-da380458d4e9"/>
    <ds:schemaRef ds:uri="7b338849-c321-419a-b516-c65118f0b4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3. Planning</vt:lpstr>
      <vt:lpstr>'3. Planning'!Iniciodelproyecto</vt:lpstr>
      <vt:lpstr>'3. Planning'!Print_Area</vt:lpstr>
      <vt:lpstr>'3. Planning'!SemanaParaMostrar</vt:lpstr>
      <vt:lpstr>'3. Planning'!task_end</vt:lpstr>
      <vt:lpstr>'3. Planning'!task_progress</vt:lpstr>
      <vt:lpstr>'3. Planning'!task_real_end</vt:lpstr>
      <vt:lpstr>'3. Planning'!task_start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 Berna</dc:creator>
  <cp:keywords/>
  <dc:description/>
  <cp:lastModifiedBy>Miquel Borrell</cp:lastModifiedBy>
  <cp:revision/>
  <dcterms:created xsi:type="dcterms:W3CDTF">2021-04-05T08:38:26Z</dcterms:created>
  <dcterms:modified xsi:type="dcterms:W3CDTF">2025-09-17T20:53:23Z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0x010100F1F19E79267E5F4AB0FD712DCCCCEF4E</vt:lpwstr>
  </property>
  <property fmtid="{D5CDD505-2E9C-101B-9397-08002B2CF9AE}" pid="3" name="MediaServiceImageTags">
    <vt:lpwstr/>
  </property>
</Properties>
</file>