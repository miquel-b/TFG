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imelineCaches/timelineCache2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timelines/timeline2.xml" ContentType="application/vnd.ms-excel.timelin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\\wsl.localhost\Debian\home\miquel\TFG\TFG_Main\Data\"/>
    </mc:Choice>
  </mc:AlternateContent>
  <xr:revisionPtr revIDLastSave="0" documentId="13_ncr:1_{6EC2CC72-FD90-424D-82C7-DED3DF2E0F7E}" xr6:coauthVersionLast="47" xr6:coauthVersionMax="47" xr10:uidLastSave="{00000000-0000-0000-0000-000000000000}"/>
  <bookViews>
    <workbookView xWindow="-120" yWindow="-120" windowWidth="29040" windowHeight="15720" firstSheet="2" activeTab="3" xr2:uid="{C29C1C78-486E-4880-A6F8-830540D0032E}"/>
  </bookViews>
  <sheets>
    <sheet name="Hoja1" sheetId="4" state="hidden" r:id="rId1"/>
    <sheet name="Hoja2" sheetId="5" state="hidden" r:id="rId2"/>
    <sheet name="DASHBOARD" sheetId="7" r:id="rId3"/>
    <sheet name="Pareto de paradas" sheetId="14" r:id="rId4"/>
    <sheet name="Sheet1" sheetId="15" r:id="rId5"/>
    <sheet name="paradas-disp" sheetId="1" r:id="rId6"/>
    <sheet name="OEE" sheetId="6" r:id="rId7"/>
  </sheets>
  <definedNames>
    <definedName name="NativeTimeline_Día1">#N/A</definedName>
    <definedName name="NativeTimeline_Fecha">#N/A</definedName>
    <definedName name="SegmentaciónDeDatos_P_LC_CF_CL1">#N/A</definedName>
  </definedNames>
  <calcPr calcId="191028"/>
  <pivotCaches>
    <pivotCache cacheId="63" r:id="rId8"/>
    <pivotCache cacheId="77" r:id="rId9"/>
  </pivotCaches>
  <extLst>
    <ext xmlns:x14="http://schemas.microsoft.com/office/spreadsheetml/2009/9/main" uri="{BBE1A952-AA13-448e-AADC-164F8A28A991}">
      <x14:slicerCaches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1"/>
        <x15:timelineCacheRef r:id="rId12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2" i="14" l="1"/>
  <c r="C34" i="14"/>
  <c r="C33" i="14"/>
  <c r="B33" i="14"/>
  <c r="C32" i="14"/>
  <c r="B32" i="14" s="1"/>
  <c r="C31" i="14"/>
  <c r="B31" i="14" s="1"/>
  <c r="B30" i="14"/>
  <c r="L30" i="14"/>
  <c r="P3" i="1"/>
  <c r="H342" i="6"/>
  <c r="H343" i="6"/>
  <c r="L145" i="6"/>
  <c r="D266" i="1"/>
  <c r="F266" i="1"/>
  <c r="G266" i="1"/>
  <c r="H266" i="1"/>
  <c r="J266" i="1"/>
  <c r="K266" i="1"/>
  <c r="M266" i="1"/>
  <c r="N266" i="1"/>
  <c r="D263" i="1"/>
  <c r="D264" i="1"/>
  <c r="D265" i="1"/>
  <c r="F263" i="1"/>
  <c r="F264" i="1"/>
  <c r="J264" i="1" s="1"/>
  <c r="K264" i="1" s="1"/>
  <c r="F265" i="1"/>
  <c r="J265" i="1" s="1"/>
  <c r="N265" i="1" s="1"/>
  <c r="G263" i="1"/>
  <c r="G264" i="1"/>
  <c r="G265" i="1"/>
  <c r="H263" i="1"/>
  <c r="H264" i="1"/>
  <c r="H265" i="1"/>
  <c r="J263" i="1"/>
  <c r="K263" i="1" s="1"/>
  <c r="M263" i="1"/>
  <c r="M264" i="1"/>
  <c r="M265" i="1"/>
  <c r="D262" i="1"/>
  <c r="F262" i="1"/>
  <c r="J262" i="1" s="1"/>
  <c r="G262" i="1"/>
  <c r="H262" i="1"/>
  <c r="M262" i="1"/>
  <c r="D261" i="1"/>
  <c r="F261" i="1"/>
  <c r="J261" i="1" s="1"/>
  <c r="G261" i="1"/>
  <c r="H261" i="1"/>
  <c r="M261" i="1"/>
  <c r="D260" i="1"/>
  <c r="F260" i="1"/>
  <c r="G260" i="1"/>
  <c r="H260" i="1"/>
  <c r="J260" i="1"/>
  <c r="N260" i="1" s="1"/>
  <c r="K260" i="1"/>
  <c r="M260" i="1"/>
  <c r="F259" i="1"/>
  <c r="J259" i="1" s="1"/>
  <c r="G259" i="1"/>
  <c r="H259" i="1"/>
  <c r="M259" i="1"/>
  <c r="D259" i="1"/>
  <c r="D258" i="1"/>
  <c r="F258" i="1"/>
  <c r="G258" i="1"/>
  <c r="H258" i="1"/>
  <c r="J258" i="1"/>
  <c r="N258" i="1" s="1"/>
  <c r="K258" i="1"/>
  <c r="M258" i="1"/>
  <c r="D251" i="1"/>
  <c r="F251" i="1"/>
  <c r="J251" i="1" s="1"/>
  <c r="G251" i="1"/>
  <c r="H251" i="1"/>
  <c r="M251" i="1"/>
  <c r="D244" i="1"/>
  <c r="F244" i="1"/>
  <c r="J244" i="1" s="1"/>
  <c r="G244" i="1"/>
  <c r="H244" i="1"/>
  <c r="M244" i="1"/>
  <c r="D257" i="1"/>
  <c r="F257" i="1"/>
  <c r="J257" i="1" s="1"/>
  <c r="G257" i="1"/>
  <c r="H257" i="1"/>
  <c r="M257" i="1"/>
  <c r="D256" i="1"/>
  <c r="F256" i="1"/>
  <c r="J256" i="1" s="1"/>
  <c r="G256" i="1"/>
  <c r="H256" i="1"/>
  <c r="M256" i="1"/>
  <c r="D255" i="1"/>
  <c r="F255" i="1"/>
  <c r="J255" i="1" s="1"/>
  <c r="G255" i="1"/>
  <c r="H255" i="1"/>
  <c r="M255" i="1"/>
  <c r="D254" i="1"/>
  <c r="F254" i="1"/>
  <c r="J254" i="1" s="1"/>
  <c r="G254" i="1"/>
  <c r="H254" i="1"/>
  <c r="M254" i="1"/>
  <c r="D253" i="1"/>
  <c r="F253" i="1"/>
  <c r="J253" i="1" s="1"/>
  <c r="N253" i="1" s="1"/>
  <c r="G253" i="1"/>
  <c r="H253" i="1"/>
  <c r="M253" i="1"/>
  <c r="D252" i="1"/>
  <c r="F252" i="1"/>
  <c r="G252" i="1"/>
  <c r="H252" i="1"/>
  <c r="M252" i="1"/>
  <c r="D250" i="1"/>
  <c r="F250" i="1"/>
  <c r="J250" i="1" s="1"/>
  <c r="G250" i="1"/>
  <c r="H250" i="1"/>
  <c r="M250" i="1"/>
  <c r="D249" i="1"/>
  <c r="F249" i="1"/>
  <c r="J249" i="1" s="1"/>
  <c r="G249" i="1"/>
  <c r="H249" i="1"/>
  <c r="M249" i="1"/>
  <c r="D248" i="1"/>
  <c r="F248" i="1"/>
  <c r="J248" i="1" s="1"/>
  <c r="G248" i="1"/>
  <c r="H248" i="1"/>
  <c r="M248" i="1"/>
  <c r="D247" i="1"/>
  <c r="F247" i="1"/>
  <c r="G247" i="1"/>
  <c r="H247" i="1"/>
  <c r="J247" i="1"/>
  <c r="N247" i="1" s="1"/>
  <c r="K247" i="1"/>
  <c r="M247" i="1"/>
  <c r="D243" i="1"/>
  <c r="D245" i="1"/>
  <c r="D246" i="1"/>
  <c r="F243" i="1"/>
  <c r="J243" i="1" s="1"/>
  <c r="F245" i="1"/>
  <c r="J245" i="1" s="1"/>
  <c r="F246" i="1"/>
  <c r="J246" i="1" s="1"/>
  <c r="G243" i="1"/>
  <c r="G245" i="1"/>
  <c r="G246" i="1"/>
  <c r="H243" i="1"/>
  <c r="H245" i="1"/>
  <c r="H246" i="1"/>
  <c r="M243" i="1"/>
  <c r="M245" i="1"/>
  <c r="M246" i="1"/>
  <c r="D242" i="1"/>
  <c r="F242" i="1"/>
  <c r="J242" i="1" s="1"/>
  <c r="G242" i="1"/>
  <c r="H242" i="1"/>
  <c r="M242" i="1"/>
  <c r="D241" i="1"/>
  <c r="F241" i="1"/>
  <c r="J241" i="1" s="1"/>
  <c r="G241" i="1"/>
  <c r="H241" i="1"/>
  <c r="M241" i="1"/>
  <c r="D240" i="1"/>
  <c r="F240" i="1"/>
  <c r="J240" i="1" s="1"/>
  <c r="G240" i="1"/>
  <c r="H240" i="1"/>
  <c r="M240" i="1"/>
  <c r="D239" i="1"/>
  <c r="F239" i="1"/>
  <c r="J239" i="1" s="1"/>
  <c r="G239" i="1"/>
  <c r="H239" i="1"/>
  <c r="M239" i="1"/>
  <c r="D238" i="1"/>
  <c r="F238" i="1"/>
  <c r="J238" i="1" s="1"/>
  <c r="G238" i="1"/>
  <c r="H238" i="1"/>
  <c r="M238" i="1"/>
  <c r="D237" i="1"/>
  <c r="F237" i="1"/>
  <c r="G237" i="1"/>
  <c r="H237" i="1"/>
  <c r="J237" i="1"/>
  <c r="M237" i="1"/>
  <c r="D236" i="1"/>
  <c r="F236" i="1"/>
  <c r="J236" i="1" s="1"/>
  <c r="G236" i="1"/>
  <c r="H236" i="1"/>
  <c r="M236" i="1"/>
  <c r="D235" i="1"/>
  <c r="F235" i="1"/>
  <c r="J235" i="1" s="1"/>
  <c r="G235" i="1"/>
  <c r="H235" i="1"/>
  <c r="M235" i="1"/>
  <c r="D234" i="1"/>
  <c r="F234" i="1"/>
  <c r="J234" i="1" s="1"/>
  <c r="G234" i="1"/>
  <c r="H234" i="1"/>
  <c r="M234" i="1"/>
  <c r="D233" i="1"/>
  <c r="F233" i="1"/>
  <c r="J233" i="1" s="1"/>
  <c r="G233" i="1"/>
  <c r="H233" i="1"/>
  <c r="M233" i="1"/>
  <c r="D232" i="1"/>
  <c r="F232" i="1"/>
  <c r="J232" i="1" s="1"/>
  <c r="G232" i="1"/>
  <c r="H232" i="1"/>
  <c r="M232" i="1"/>
  <c r="D231" i="1"/>
  <c r="F231" i="1"/>
  <c r="J231" i="1" s="1"/>
  <c r="G231" i="1"/>
  <c r="H231" i="1"/>
  <c r="M231" i="1"/>
  <c r="D230" i="1"/>
  <c r="F230" i="1"/>
  <c r="J230" i="1" s="1"/>
  <c r="G230" i="1"/>
  <c r="H230" i="1"/>
  <c r="M230" i="1"/>
  <c r="D228" i="1"/>
  <c r="D229" i="1"/>
  <c r="F228" i="1"/>
  <c r="J228" i="1" s="1"/>
  <c r="F229" i="1"/>
  <c r="J229" i="1" s="1"/>
  <c r="G228" i="1"/>
  <c r="G229" i="1"/>
  <c r="H228" i="1"/>
  <c r="H229" i="1"/>
  <c r="M229" i="1"/>
  <c r="D226" i="1"/>
  <c r="D227" i="1"/>
  <c r="F226" i="1"/>
  <c r="J226" i="1" s="1"/>
  <c r="F227" i="1"/>
  <c r="J227" i="1" s="1"/>
  <c r="G226" i="1"/>
  <c r="G227" i="1"/>
  <c r="H226" i="1"/>
  <c r="H227" i="1"/>
  <c r="M226" i="1"/>
  <c r="M227" i="1"/>
  <c r="D225" i="1"/>
  <c r="F225" i="1"/>
  <c r="J225" i="1" s="1"/>
  <c r="G225" i="1"/>
  <c r="H225" i="1"/>
  <c r="M225" i="1"/>
  <c r="D224" i="1"/>
  <c r="F224" i="1"/>
  <c r="J224" i="1" s="1"/>
  <c r="G224" i="1"/>
  <c r="H224" i="1"/>
  <c r="M224" i="1"/>
  <c r="D223" i="1"/>
  <c r="F223" i="1"/>
  <c r="J223" i="1" s="1"/>
  <c r="G223" i="1"/>
  <c r="H223" i="1"/>
  <c r="M223" i="1"/>
  <c r="D222" i="1"/>
  <c r="F222" i="1"/>
  <c r="J222" i="1" s="1"/>
  <c r="G222" i="1"/>
  <c r="H222" i="1"/>
  <c r="M222" i="1"/>
  <c r="D221" i="1"/>
  <c r="F221" i="1"/>
  <c r="J221" i="1" s="1"/>
  <c r="G221" i="1"/>
  <c r="H221" i="1"/>
  <c r="M221" i="1"/>
  <c r="D220" i="1"/>
  <c r="F220" i="1"/>
  <c r="J220" i="1" s="1"/>
  <c r="G220" i="1"/>
  <c r="H220" i="1"/>
  <c r="M220" i="1"/>
  <c r="D219" i="1"/>
  <c r="F219" i="1"/>
  <c r="J219" i="1" s="1"/>
  <c r="G219" i="1"/>
  <c r="H219" i="1"/>
  <c r="M219" i="1"/>
  <c r="D218" i="1"/>
  <c r="F218" i="1"/>
  <c r="J218" i="1" s="1"/>
  <c r="G218" i="1"/>
  <c r="H218" i="1"/>
  <c r="M218" i="1"/>
  <c r="D217" i="1"/>
  <c r="F217" i="1"/>
  <c r="J217" i="1" s="1"/>
  <c r="G217" i="1"/>
  <c r="H217" i="1"/>
  <c r="M217" i="1"/>
  <c r="D216" i="1"/>
  <c r="F216" i="1"/>
  <c r="J216" i="1" s="1"/>
  <c r="G216" i="1"/>
  <c r="H216" i="1"/>
  <c r="M216" i="1"/>
  <c r="D215" i="1"/>
  <c r="F215" i="1"/>
  <c r="J215" i="1" s="1"/>
  <c r="G215" i="1"/>
  <c r="H215" i="1"/>
  <c r="M215" i="1"/>
  <c r="D214" i="1"/>
  <c r="F214" i="1"/>
  <c r="J214" i="1" s="1"/>
  <c r="G214" i="1"/>
  <c r="H214" i="1"/>
  <c r="M214" i="1"/>
  <c r="D213" i="1"/>
  <c r="F213" i="1"/>
  <c r="J213" i="1" s="1"/>
  <c r="G213" i="1"/>
  <c r="H213" i="1"/>
  <c r="M213" i="1"/>
  <c r="D212" i="1"/>
  <c r="F212" i="1"/>
  <c r="J212" i="1" s="1"/>
  <c r="G212" i="1"/>
  <c r="H212" i="1"/>
  <c r="M212" i="1"/>
  <c r="D211" i="1"/>
  <c r="F211" i="1"/>
  <c r="J211" i="1" s="1"/>
  <c r="G211" i="1"/>
  <c r="H211" i="1"/>
  <c r="M211" i="1"/>
  <c r="M210" i="1"/>
  <c r="H210" i="1"/>
  <c r="G210" i="1"/>
  <c r="F210" i="1"/>
  <c r="J210" i="1" s="1"/>
  <c r="D210" i="1"/>
  <c r="M209" i="1"/>
  <c r="H209" i="1"/>
  <c r="G209" i="1"/>
  <c r="F209" i="1"/>
  <c r="J209" i="1" s="1"/>
  <c r="D209" i="1"/>
  <c r="M208" i="1"/>
  <c r="H208" i="1"/>
  <c r="G208" i="1"/>
  <c r="F208" i="1"/>
  <c r="J208" i="1" s="1"/>
  <c r="D208" i="1"/>
  <c r="M207" i="1"/>
  <c r="H207" i="1"/>
  <c r="G207" i="1"/>
  <c r="F207" i="1"/>
  <c r="J207" i="1" s="1"/>
  <c r="D207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H206" i="1"/>
  <c r="G206" i="1"/>
  <c r="F206" i="1"/>
  <c r="J206" i="1" s="1"/>
  <c r="D206" i="1"/>
  <c r="H205" i="1"/>
  <c r="G205" i="1"/>
  <c r="F205" i="1"/>
  <c r="J205" i="1" s="1"/>
  <c r="D205" i="1"/>
  <c r="H204" i="1"/>
  <c r="G204" i="1"/>
  <c r="F204" i="1"/>
  <c r="J204" i="1" s="1"/>
  <c r="D204" i="1"/>
  <c r="H203" i="1"/>
  <c r="G203" i="1"/>
  <c r="F203" i="1"/>
  <c r="J203" i="1" s="1"/>
  <c r="D203" i="1"/>
  <c r="H202" i="1"/>
  <c r="G202" i="1"/>
  <c r="F202" i="1"/>
  <c r="J202" i="1" s="1"/>
  <c r="D202" i="1"/>
  <c r="H201" i="1"/>
  <c r="G201" i="1"/>
  <c r="F201" i="1"/>
  <c r="J201" i="1" s="1"/>
  <c r="D201" i="1"/>
  <c r="H200" i="1"/>
  <c r="G200" i="1"/>
  <c r="F200" i="1"/>
  <c r="J200" i="1" s="1"/>
  <c r="D200" i="1"/>
  <c r="H199" i="1"/>
  <c r="G199" i="1"/>
  <c r="F199" i="1"/>
  <c r="J199" i="1" s="1"/>
  <c r="D199" i="1"/>
  <c r="C148" i="6"/>
  <c r="C149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150" i="6"/>
  <c r="F98" i="6"/>
  <c r="C98" i="6"/>
  <c r="C91" i="6"/>
  <c r="D96" i="1"/>
  <c r="F96" i="1"/>
  <c r="J96" i="1" s="1"/>
  <c r="G96" i="1"/>
  <c r="H96" i="1"/>
  <c r="D93" i="1"/>
  <c r="F93" i="1"/>
  <c r="J93" i="1" s="1"/>
  <c r="G93" i="1"/>
  <c r="H93" i="1"/>
  <c r="D94" i="1"/>
  <c r="F94" i="1"/>
  <c r="J94" i="1" s="1"/>
  <c r="G94" i="1"/>
  <c r="H94" i="1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1" i="6"/>
  <c r="H132" i="6"/>
  <c r="H133" i="6"/>
  <c r="H134" i="6"/>
  <c r="H135" i="6"/>
  <c r="H136" i="6"/>
  <c r="H137" i="6"/>
  <c r="H138" i="6"/>
  <c r="H139" i="6"/>
  <c r="H141" i="6"/>
  <c r="H142" i="6"/>
  <c r="H143" i="6"/>
  <c r="H144" i="6"/>
  <c r="H145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C145" i="6"/>
  <c r="C139" i="6"/>
  <c r="C138" i="6"/>
  <c r="C137" i="6"/>
  <c r="C133" i="6"/>
  <c r="C132" i="6"/>
  <c r="C131" i="6"/>
  <c r="H162" i="1"/>
  <c r="F162" i="1"/>
  <c r="H198" i="1"/>
  <c r="G198" i="1"/>
  <c r="F198" i="1"/>
  <c r="J198" i="1" s="1"/>
  <c r="D198" i="1"/>
  <c r="H197" i="1"/>
  <c r="G197" i="1"/>
  <c r="F197" i="1"/>
  <c r="J197" i="1" s="1"/>
  <c r="D197" i="1"/>
  <c r="H196" i="1"/>
  <c r="G196" i="1"/>
  <c r="F196" i="1"/>
  <c r="J196" i="1" s="1"/>
  <c r="D196" i="1"/>
  <c r="H195" i="1"/>
  <c r="G195" i="1"/>
  <c r="F195" i="1"/>
  <c r="J195" i="1" s="1"/>
  <c r="D195" i="1"/>
  <c r="H194" i="1"/>
  <c r="G194" i="1"/>
  <c r="F194" i="1"/>
  <c r="J194" i="1" s="1"/>
  <c r="D194" i="1"/>
  <c r="H193" i="1"/>
  <c r="G193" i="1"/>
  <c r="F193" i="1"/>
  <c r="J193" i="1" s="1"/>
  <c r="D193" i="1"/>
  <c r="H192" i="1"/>
  <c r="G192" i="1"/>
  <c r="F192" i="1"/>
  <c r="J192" i="1" s="1"/>
  <c r="D192" i="1"/>
  <c r="H191" i="1"/>
  <c r="G191" i="1"/>
  <c r="F191" i="1"/>
  <c r="J191" i="1" s="1"/>
  <c r="D191" i="1"/>
  <c r="H190" i="1"/>
  <c r="F190" i="1"/>
  <c r="J190" i="1" s="1"/>
  <c r="D190" i="1"/>
  <c r="G190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5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H189" i="1"/>
  <c r="F189" i="1"/>
  <c r="J189" i="1" s="1"/>
  <c r="D189" i="1"/>
  <c r="H188" i="1"/>
  <c r="F188" i="1"/>
  <c r="J188" i="1" s="1"/>
  <c r="D188" i="1"/>
  <c r="H187" i="1"/>
  <c r="F187" i="1"/>
  <c r="J187" i="1" s="1"/>
  <c r="D187" i="1"/>
  <c r="H186" i="1"/>
  <c r="F186" i="1"/>
  <c r="J186" i="1" s="1"/>
  <c r="D186" i="1"/>
  <c r="H185" i="1"/>
  <c r="F185" i="1"/>
  <c r="J185" i="1" s="1"/>
  <c r="D185" i="1"/>
  <c r="H184" i="1"/>
  <c r="F184" i="1"/>
  <c r="J184" i="1" s="1"/>
  <c r="D184" i="1"/>
  <c r="H183" i="1"/>
  <c r="F183" i="1"/>
  <c r="J183" i="1" s="1"/>
  <c r="D183" i="1"/>
  <c r="H182" i="1"/>
  <c r="F182" i="1"/>
  <c r="J182" i="1" s="1"/>
  <c r="D182" i="1"/>
  <c r="H181" i="1"/>
  <c r="F181" i="1"/>
  <c r="J181" i="1" s="1"/>
  <c r="D181" i="1"/>
  <c r="H180" i="1"/>
  <c r="F180" i="1"/>
  <c r="J180" i="1" s="1"/>
  <c r="H179" i="1"/>
  <c r="F179" i="1"/>
  <c r="J179" i="1" s="1"/>
  <c r="H178" i="1"/>
  <c r="F178" i="1"/>
  <c r="J178" i="1" s="1"/>
  <c r="D178" i="1"/>
  <c r="H177" i="1"/>
  <c r="F177" i="1"/>
  <c r="J177" i="1" s="1"/>
  <c r="D177" i="1"/>
  <c r="H176" i="1"/>
  <c r="F176" i="1"/>
  <c r="J176" i="1" s="1"/>
  <c r="D176" i="1"/>
  <c r="H175" i="1"/>
  <c r="F175" i="1"/>
  <c r="J175" i="1" s="1"/>
  <c r="D175" i="1"/>
  <c r="H174" i="1"/>
  <c r="F174" i="1"/>
  <c r="J174" i="1" s="1"/>
  <c r="D174" i="1"/>
  <c r="H173" i="1"/>
  <c r="F173" i="1"/>
  <c r="J173" i="1" s="1"/>
  <c r="H172" i="1"/>
  <c r="F172" i="1"/>
  <c r="J172" i="1" s="1"/>
  <c r="H171" i="1"/>
  <c r="F171" i="1"/>
  <c r="J171" i="1" s="1"/>
  <c r="D170" i="1"/>
  <c r="F170" i="1"/>
  <c r="J170" i="1" s="1"/>
  <c r="H170" i="1"/>
  <c r="H169" i="1"/>
  <c r="F169" i="1"/>
  <c r="J169" i="1" s="1"/>
  <c r="D169" i="1"/>
  <c r="H168" i="1"/>
  <c r="F168" i="1"/>
  <c r="J168" i="1" s="1"/>
  <c r="D168" i="1"/>
  <c r="C11" i="6"/>
  <c r="C12" i="6"/>
  <c r="C13" i="6"/>
  <c r="C14" i="6"/>
  <c r="C17" i="6"/>
  <c r="C18" i="6"/>
  <c r="C19" i="6"/>
  <c r="C20" i="6"/>
  <c r="C21" i="6"/>
  <c r="C24" i="6"/>
  <c r="C25" i="6"/>
  <c r="C26" i="6"/>
  <c r="C27" i="6"/>
  <c r="C35" i="6"/>
  <c r="C38" i="6"/>
  <c r="C39" i="6"/>
  <c r="C40" i="6"/>
  <c r="C41" i="6"/>
  <c r="C42" i="6"/>
  <c r="C45" i="6"/>
  <c r="C46" i="6"/>
  <c r="C47" i="6"/>
  <c r="C48" i="6"/>
  <c r="H167" i="1"/>
  <c r="F167" i="1"/>
  <c r="J167" i="1" s="1"/>
  <c r="H166" i="1"/>
  <c r="F166" i="1"/>
  <c r="J166" i="1" s="1"/>
  <c r="H165" i="1"/>
  <c r="F165" i="1"/>
  <c r="J165" i="1" s="1"/>
  <c r="D165" i="1"/>
  <c r="H164" i="1"/>
  <c r="F164" i="1"/>
  <c r="J164" i="1" s="1"/>
  <c r="D164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F11" i="1"/>
  <c r="B18" i="6" s="1"/>
  <c r="F18" i="6" s="1"/>
  <c r="F12" i="1"/>
  <c r="F13" i="1"/>
  <c r="F14" i="1"/>
  <c r="F15" i="1"/>
  <c r="F16" i="1"/>
  <c r="F17" i="1"/>
  <c r="F18" i="1"/>
  <c r="F19" i="1"/>
  <c r="B24" i="6" s="1"/>
  <c r="F20" i="1"/>
  <c r="B25" i="6" s="1"/>
  <c r="F21" i="1"/>
  <c r="F22" i="1"/>
  <c r="F23" i="1"/>
  <c r="F24" i="1"/>
  <c r="B27" i="6" s="1"/>
  <c r="D27" i="6" s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J44" i="1" s="1"/>
  <c r="F45" i="1"/>
  <c r="J45" i="1" s="1"/>
  <c r="F46" i="1"/>
  <c r="J46" i="1" s="1"/>
  <c r="F47" i="1"/>
  <c r="J47" i="1" s="1"/>
  <c r="F48" i="1"/>
  <c r="J48" i="1" s="1"/>
  <c r="F49" i="1"/>
  <c r="J49" i="1" s="1"/>
  <c r="F50" i="1"/>
  <c r="J50" i="1" s="1"/>
  <c r="F51" i="1"/>
  <c r="B47" i="6" s="1"/>
  <c r="D47" i="6" s="1"/>
  <c r="F52" i="1"/>
  <c r="B48" i="6" s="1"/>
  <c r="D48" i="6" s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B3" i="6"/>
  <c r="D3" i="6" s="1"/>
  <c r="E3" i="6" s="1"/>
  <c r="B4" i="6"/>
  <c r="F4" i="6" s="1"/>
  <c r="B5" i="6"/>
  <c r="F5" i="6" s="1"/>
  <c r="B6" i="6"/>
  <c r="F6" i="6" s="1"/>
  <c r="B7" i="6"/>
  <c r="F7" i="6" s="1"/>
  <c r="B8" i="6"/>
  <c r="F8" i="6" s="1"/>
  <c r="B9" i="6"/>
  <c r="F9" i="6" s="1"/>
  <c r="B10" i="6"/>
  <c r="F10" i="6" s="1"/>
  <c r="B15" i="6"/>
  <c r="B16" i="6"/>
  <c r="B22" i="6"/>
  <c r="F22" i="6" s="1"/>
  <c r="B23" i="6"/>
  <c r="B28" i="6"/>
  <c r="F28" i="6" s="1"/>
  <c r="B29" i="6"/>
  <c r="D29" i="6" s="1"/>
  <c r="E29" i="6" s="1"/>
  <c r="B30" i="6"/>
  <c r="F30" i="6" s="1"/>
  <c r="B31" i="6"/>
  <c r="B32" i="6"/>
  <c r="F32" i="6" s="1"/>
  <c r="B33" i="6"/>
  <c r="D33" i="6" s="1"/>
  <c r="E33" i="6" s="1"/>
  <c r="B34" i="6"/>
  <c r="D34" i="6" s="1"/>
  <c r="E34" i="6" s="1"/>
  <c r="B36" i="6"/>
  <c r="F36" i="6" s="1"/>
  <c r="B37" i="6"/>
  <c r="F37" i="6" s="1"/>
  <c r="B43" i="6"/>
  <c r="F43" i="6" s="1"/>
  <c r="B44" i="6"/>
  <c r="F44" i="6" s="1"/>
  <c r="B49" i="6"/>
  <c r="B50" i="6"/>
  <c r="F50" i="6" s="1"/>
  <c r="B51" i="6"/>
  <c r="F3" i="1"/>
  <c r="J3" i="1" s="1"/>
  <c r="F4" i="1"/>
  <c r="J4" i="1" s="1"/>
  <c r="F5" i="1"/>
  <c r="J5" i="1" s="1"/>
  <c r="F6" i="1"/>
  <c r="F7" i="1"/>
  <c r="J7" i="1" s="1"/>
  <c r="F8" i="1"/>
  <c r="F9" i="1"/>
  <c r="F10" i="1"/>
  <c r="B17" i="6" s="1"/>
  <c r="F17" i="6" s="1"/>
  <c r="D3" i="1"/>
  <c r="D4" i="1"/>
  <c r="D5" i="1"/>
  <c r="D6" i="1"/>
  <c r="D7" i="1"/>
  <c r="D8" i="1"/>
  <c r="D9" i="1"/>
  <c r="D10" i="1"/>
  <c r="H3" i="1"/>
  <c r="H4" i="1"/>
  <c r="H5" i="1"/>
  <c r="H6" i="1"/>
  <c r="H7" i="1"/>
  <c r="H8" i="1"/>
  <c r="H9" i="1"/>
  <c r="H10" i="1"/>
  <c r="D163" i="1"/>
  <c r="F163" i="1"/>
  <c r="J163" i="1" s="1"/>
  <c r="H163" i="1"/>
  <c r="D162" i="1"/>
  <c r="B40" i="6" l="1"/>
  <c r="F40" i="6" s="1"/>
  <c r="B20" i="6"/>
  <c r="F20" i="6" s="1"/>
  <c r="N248" i="1"/>
  <c r="K248" i="1"/>
  <c r="N241" i="1"/>
  <c r="K241" i="1"/>
  <c r="N255" i="1"/>
  <c r="K255" i="1"/>
  <c r="N251" i="1"/>
  <c r="K251" i="1"/>
  <c r="N257" i="1"/>
  <c r="K257" i="1"/>
  <c r="B342" i="6"/>
  <c r="F342" i="6" s="1"/>
  <c r="N261" i="1"/>
  <c r="K261" i="1"/>
  <c r="N233" i="1"/>
  <c r="K233" i="1"/>
  <c r="N254" i="1"/>
  <c r="K254" i="1"/>
  <c r="N227" i="1"/>
  <c r="K227" i="1"/>
  <c r="N249" i="1"/>
  <c r="K249" i="1"/>
  <c r="J252" i="1"/>
  <c r="N256" i="1"/>
  <c r="K256" i="1"/>
  <c r="N244" i="1"/>
  <c r="K244" i="1"/>
  <c r="N250" i="1"/>
  <c r="K250" i="1"/>
  <c r="K259" i="1"/>
  <c r="N259" i="1"/>
  <c r="N246" i="1"/>
  <c r="K246" i="1"/>
  <c r="N242" i="1"/>
  <c r="K242" i="1"/>
  <c r="N245" i="1"/>
  <c r="K245" i="1"/>
  <c r="N243" i="1"/>
  <c r="K243" i="1"/>
  <c r="K262" i="1"/>
  <c r="N262" i="1"/>
  <c r="K265" i="1"/>
  <c r="N264" i="1"/>
  <c r="B343" i="6"/>
  <c r="N263" i="1"/>
  <c r="K253" i="1"/>
  <c r="K163" i="1"/>
  <c r="N163" i="1"/>
  <c r="K7" i="1"/>
  <c r="N7" i="1"/>
  <c r="K5" i="1"/>
  <c r="N5" i="1"/>
  <c r="K4" i="1"/>
  <c r="N4" i="1"/>
  <c r="K3" i="1"/>
  <c r="N3" i="1"/>
  <c r="K50" i="1"/>
  <c r="N50" i="1"/>
  <c r="K42" i="1"/>
  <c r="N42" i="1"/>
  <c r="K41" i="1"/>
  <c r="N41" i="1"/>
  <c r="K40" i="1"/>
  <c r="N40" i="1"/>
  <c r="K39" i="1"/>
  <c r="N39" i="1"/>
  <c r="K38" i="1"/>
  <c r="N38" i="1"/>
  <c r="K37" i="1"/>
  <c r="N37" i="1"/>
  <c r="K36" i="1"/>
  <c r="N36" i="1"/>
  <c r="K35" i="1"/>
  <c r="N35" i="1"/>
  <c r="K34" i="1"/>
  <c r="N34" i="1"/>
  <c r="K33" i="1"/>
  <c r="N33" i="1"/>
  <c r="K32" i="1"/>
  <c r="N32" i="1"/>
  <c r="K31" i="1"/>
  <c r="N31" i="1"/>
  <c r="K30" i="1"/>
  <c r="N30" i="1"/>
  <c r="K29" i="1"/>
  <c r="N29" i="1"/>
  <c r="K28" i="1"/>
  <c r="N28" i="1"/>
  <c r="K27" i="1"/>
  <c r="N27" i="1"/>
  <c r="K26" i="1"/>
  <c r="N26" i="1"/>
  <c r="K25" i="1"/>
  <c r="N25" i="1"/>
  <c r="K24" i="1"/>
  <c r="N24" i="1"/>
  <c r="K23" i="1"/>
  <c r="N23" i="1"/>
  <c r="K22" i="1"/>
  <c r="N22" i="1"/>
  <c r="K21" i="1"/>
  <c r="N21" i="1"/>
  <c r="K20" i="1"/>
  <c r="N20" i="1"/>
  <c r="K19" i="1"/>
  <c r="N19" i="1"/>
  <c r="K18" i="1"/>
  <c r="N18" i="1"/>
  <c r="K17" i="1"/>
  <c r="N17" i="1"/>
  <c r="K16" i="1"/>
  <c r="N16" i="1"/>
  <c r="K15" i="1"/>
  <c r="N15" i="1"/>
  <c r="K14" i="1"/>
  <c r="N14" i="1"/>
  <c r="K13" i="1"/>
  <c r="N13" i="1"/>
  <c r="K12" i="1"/>
  <c r="N12" i="1"/>
  <c r="K11" i="1"/>
  <c r="N11" i="1"/>
  <c r="K49" i="1"/>
  <c r="N49" i="1"/>
  <c r="K48" i="1"/>
  <c r="N48" i="1"/>
  <c r="K47" i="1"/>
  <c r="N47" i="1"/>
  <c r="K46" i="1"/>
  <c r="N46" i="1"/>
  <c r="K45" i="1"/>
  <c r="N45" i="1"/>
  <c r="K44" i="1"/>
  <c r="N44" i="1"/>
  <c r="K164" i="1"/>
  <c r="N164" i="1"/>
  <c r="K165" i="1"/>
  <c r="N165" i="1"/>
  <c r="K166" i="1"/>
  <c r="N166" i="1"/>
  <c r="K167" i="1"/>
  <c r="N167" i="1"/>
  <c r="K168" i="1"/>
  <c r="N168" i="1"/>
  <c r="K169" i="1"/>
  <c r="N169" i="1"/>
  <c r="K170" i="1"/>
  <c r="N170" i="1"/>
  <c r="K171" i="1"/>
  <c r="N171" i="1"/>
  <c r="K172" i="1"/>
  <c r="N172" i="1"/>
  <c r="K173" i="1"/>
  <c r="N173" i="1"/>
  <c r="K174" i="1"/>
  <c r="N174" i="1"/>
  <c r="K175" i="1"/>
  <c r="N175" i="1"/>
  <c r="K176" i="1"/>
  <c r="N176" i="1"/>
  <c r="K177" i="1"/>
  <c r="N177" i="1"/>
  <c r="K178" i="1"/>
  <c r="N178" i="1"/>
  <c r="K179" i="1"/>
  <c r="N179" i="1"/>
  <c r="K180" i="1"/>
  <c r="N180" i="1"/>
  <c r="K181" i="1"/>
  <c r="N181" i="1"/>
  <c r="K182" i="1"/>
  <c r="N182" i="1"/>
  <c r="K183" i="1"/>
  <c r="N183" i="1"/>
  <c r="K184" i="1"/>
  <c r="N184" i="1"/>
  <c r="K185" i="1"/>
  <c r="N185" i="1"/>
  <c r="K186" i="1"/>
  <c r="N186" i="1"/>
  <c r="K187" i="1"/>
  <c r="N187" i="1"/>
  <c r="K188" i="1"/>
  <c r="N188" i="1"/>
  <c r="K189" i="1"/>
  <c r="N189" i="1"/>
  <c r="K190" i="1"/>
  <c r="N190" i="1"/>
  <c r="K191" i="1"/>
  <c r="N191" i="1"/>
  <c r="K192" i="1"/>
  <c r="N192" i="1"/>
  <c r="K193" i="1"/>
  <c r="N193" i="1"/>
  <c r="K194" i="1"/>
  <c r="N194" i="1"/>
  <c r="K195" i="1"/>
  <c r="N195" i="1"/>
  <c r="K196" i="1"/>
  <c r="N196" i="1"/>
  <c r="K197" i="1"/>
  <c r="N197" i="1"/>
  <c r="K198" i="1"/>
  <c r="N198" i="1"/>
  <c r="K94" i="1"/>
  <c r="N94" i="1"/>
  <c r="K93" i="1"/>
  <c r="N93" i="1"/>
  <c r="K96" i="1"/>
  <c r="N96" i="1"/>
  <c r="K199" i="1"/>
  <c r="N199" i="1"/>
  <c r="K200" i="1"/>
  <c r="N200" i="1"/>
  <c r="K201" i="1"/>
  <c r="N201" i="1"/>
  <c r="K202" i="1"/>
  <c r="N202" i="1"/>
  <c r="K203" i="1"/>
  <c r="N203" i="1"/>
  <c r="K204" i="1"/>
  <c r="N204" i="1"/>
  <c r="K205" i="1"/>
  <c r="N205" i="1"/>
  <c r="K206" i="1"/>
  <c r="N206" i="1"/>
  <c r="K207" i="1"/>
  <c r="N207" i="1"/>
  <c r="K208" i="1"/>
  <c r="N208" i="1"/>
  <c r="K209" i="1"/>
  <c r="N209" i="1"/>
  <c r="K210" i="1"/>
  <c r="N210" i="1"/>
  <c r="K211" i="1"/>
  <c r="N211" i="1"/>
  <c r="K212" i="1"/>
  <c r="N212" i="1"/>
  <c r="K213" i="1"/>
  <c r="N213" i="1"/>
  <c r="K214" i="1"/>
  <c r="N214" i="1"/>
  <c r="K215" i="1"/>
  <c r="N215" i="1"/>
  <c r="K216" i="1"/>
  <c r="N216" i="1"/>
  <c r="K217" i="1"/>
  <c r="N217" i="1"/>
  <c r="K218" i="1"/>
  <c r="N218" i="1"/>
  <c r="K219" i="1"/>
  <c r="N219" i="1"/>
  <c r="K220" i="1"/>
  <c r="N220" i="1"/>
  <c r="K221" i="1"/>
  <c r="N221" i="1"/>
  <c r="K222" i="1"/>
  <c r="N222" i="1"/>
  <c r="K223" i="1"/>
  <c r="N223" i="1"/>
  <c r="K224" i="1"/>
  <c r="N224" i="1"/>
  <c r="K225" i="1"/>
  <c r="N225" i="1"/>
  <c r="K226" i="1"/>
  <c r="N226" i="1"/>
  <c r="K229" i="1"/>
  <c r="N229" i="1"/>
  <c r="K228" i="1"/>
  <c r="N228" i="1"/>
  <c r="K230" i="1"/>
  <c r="N230" i="1"/>
  <c r="K231" i="1"/>
  <c r="N231" i="1"/>
  <c r="K232" i="1"/>
  <c r="N232" i="1"/>
  <c r="K234" i="1"/>
  <c r="N234" i="1"/>
  <c r="K235" i="1"/>
  <c r="N235" i="1"/>
  <c r="K236" i="1"/>
  <c r="N236" i="1"/>
  <c r="K237" i="1"/>
  <c r="N237" i="1"/>
  <c r="K238" i="1"/>
  <c r="N238" i="1"/>
  <c r="K239" i="1"/>
  <c r="N239" i="1"/>
  <c r="K240" i="1"/>
  <c r="N240" i="1"/>
  <c r="B46" i="6"/>
  <c r="D46" i="6" s="1"/>
  <c r="E46" i="6" s="1"/>
  <c r="J51" i="1"/>
  <c r="B39" i="6"/>
  <c r="F39" i="6" s="1"/>
  <c r="G39" i="6" s="1"/>
  <c r="B21" i="6"/>
  <c r="F21" i="6" s="1"/>
  <c r="G21" i="6" s="1"/>
  <c r="B45" i="6"/>
  <c r="F45" i="6" s="1"/>
  <c r="J52" i="1"/>
  <c r="B26" i="6"/>
  <c r="D26" i="6" s="1"/>
  <c r="E26" i="6" s="1"/>
  <c r="B42" i="6"/>
  <c r="F42" i="6" s="1"/>
  <c r="G42" i="6" s="1"/>
  <c r="B38" i="6"/>
  <c r="F38" i="6" s="1"/>
  <c r="G38" i="6" s="1"/>
  <c r="B35" i="6"/>
  <c r="F35" i="6" s="1"/>
  <c r="G35" i="6" s="1"/>
  <c r="B19" i="6"/>
  <c r="F19" i="6" s="1"/>
  <c r="J43" i="1"/>
  <c r="B41" i="6"/>
  <c r="F41" i="6" s="1"/>
  <c r="G41" i="6" s="1"/>
  <c r="E48" i="6"/>
  <c r="E47" i="6"/>
  <c r="F31" i="6"/>
  <c r="G31" i="6" s="1"/>
  <c r="F29" i="6"/>
  <c r="I29" i="6" s="1"/>
  <c r="K29" i="6" s="1"/>
  <c r="F16" i="6"/>
  <c r="G16" i="6" s="1"/>
  <c r="F51" i="6"/>
  <c r="G51" i="6" s="1"/>
  <c r="F27" i="6"/>
  <c r="F15" i="6"/>
  <c r="G15" i="6" s="1"/>
  <c r="F3" i="6"/>
  <c r="F49" i="6"/>
  <c r="G49" i="6" s="1"/>
  <c r="F25" i="6"/>
  <c r="G25" i="6" s="1"/>
  <c r="F48" i="6"/>
  <c r="F24" i="6"/>
  <c r="G24" i="6" s="1"/>
  <c r="G4" i="6"/>
  <c r="F47" i="6"/>
  <c r="F23" i="6"/>
  <c r="G23" i="6" s="1"/>
  <c r="F34" i="6"/>
  <c r="I34" i="6" s="1"/>
  <c r="K34" i="6" s="1"/>
  <c r="F33" i="6"/>
  <c r="E27" i="6"/>
  <c r="B13" i="6"/>
  <c r="F13" i="6" s="1"/>
  <c r="D28" i="6"/>
  <c r="E28" i="6" s="1"/>
  <c r="I28" i="6" s="1"/>
  <c r="K28" i="6" s="1"/>
  <c r="J6" i="1"/>
  <c r="D5" i="6"/>
  <c r="E5" i="6" s="1"/>
  <c r="I5" i="6" s="1"/>
  <c r="K5" i="6" s="1"/>
  <c r="B12" i="6"/>
  <c r="F12" i="6" s="1"/>
  <c r="D23" i="6"/>
  <c r="E23" i="6" s="1"/>
  <c r="D36" i="6"/>
  <c r="E36" i="6" s="1"/>
  <c r="I36" i="6" s="1"/>
  <c r="K36" i="6" s="1"/>
  <c r="D15" i="6"/>
  <c r="E15" i="6" s="1"/>
  <c r="B14" i="6"/>
  <c r="J8" i="1"/>
  <c r="G28" i="6"/>
  <c r="G5" i="6"/>
  <c r="D22" i="6"/>
  <c r="E22" i="6" s="1"/>
  <c r="I22" i="6" s="1"/>
  <c r="K22" i="6" s="1"/>
  <c r="B11" i="6"/>
  <c r="F11" i="6" s="1"/>
  <c r="J10" i="1"/>
  <c r="D10" i="6"/>
  <c r="E10" i="6" s="1"/>
  <c r="I10" i="6" s="1"/>
  <c r="K10" i="6" s="1"/>
  <c r="D49" i="6"/>
  <c r="E49" i="6" s="1"/>
  <c r="D7" i="6"/>
  <c r="E7" i="6" s="1"/>
  <c r="I7" i="6" s="1"/>
  <c r="K7" i="6" s="1"/>
  <c r="D37" i="6"/>
  <c r="E37" i="6" s="1"/>
  <c r="I37" i="6" s="1"/>
  <c r="K37" i="6" s="1"/>
  <c r="D25" i="6"/>
  <c r="E25" i="6" s="1"/>
  <c r="G17" i="6"/>
  <c r="D9" i="6"/>
  <c r="E9" i="6" s="1"/>
  <c r="I9" i="6" s="1"/>
  <c r="K9" i="6" s="1"/>
  <c r="D18" i="6"/>
  <c r="E18" i="6" s="1"/>
  <c r="I18" i="6" s="1"/>
  <c r="K18" i="6" s="1"/>
  <c r="D8" i="6"/>
  <c r="E8" i="6" s="1"/>
  <c r="I8" i="6" s="1"/>
  <c r="K8" i="6" s="1"/>
  <c r="D30" i="6"/>
  <c r="E30" i="6" s="1"/>
  <c r="I30" i="6" s="1"/>
  <c r="K30" i="6" s="1"/>
  <c r="D17" i="6"/>
  <c r="E17" i="6" s="1"/>
  <c r="I17" i="6" s="1"/>
  <c r="K17" i="6" s="1"/>
  <c r="D20" i="6"/>
  <c r="E20" i="6" s="1"/>
  <c r="I20" i="6" s="1"/>
  <c r="K20" i="6" s="1"/>
  <c r="D6" i="6"/>
  <c r="E6" i="6" s="1"/>
  <c r="I6" i="6" s="1"/>
  <c r="K6" i="6" s="1"/>
  <c r="D43" i="6"/>
  <c r="E43" i="6" s="1"/>
  <c r="I43" i="6" s="1"/>
  <c r="K43" i="6" s="1"/>
  <c r="J9" i="1"/>
  <c r="D24" i="6"/>
  <c r="E24" i="6" s="1"/>
  <c r="G20" i="6"/>
  <c r="G18" i="6"/>
  <c r="G22" i="6"/>
  <c r="G10" i="6"/>
  <c r="G9" i="6"/>
  <c r="G8" i="6"/>
  <c r="G7" i="6"/>
  <c r="G6" i="6"/>
  <c r="D16" i="6"/>
  <c r="E16" i="6" s="1"/>
  <c r="D4" i="6"/>
  <c r="E4" i="6" s="1"/>
  <c r="I4" i="6" s="1"/>
  <c r="K4" i="6" s="1"/>
  <c r="G40" i="6"/>
  <c r="D50" i="6"/>
  <c r="E50" i="6" s="1"/>
  <c r="I50" i="6" s="1"/>
  <c r="K50" i="6" s="1"/>
  <c r="D44" i="6"/>
  <c r="E44" i="6" s="1"/>
  <c r="I44" i="6" s="1"/>
  <c r="K44" i="6" s="1"/>
  <c r="D32" i="6"/>
  <c r="E32" i="6" s="1"/>
  <c r="I32" i="6" s="1"/>
  <c r="K32" i="6" s="1"/>
  <c r="D31" i="6"/>
  <c r="E31" i="6" s="1"/>
  <c r="D40" i="6"/>
  <c r="E40" i="6" s="1"/>
  <c r="I40" i="6" s="1"/>
  <c r="K40" i="6" s="1"/>
  <c r="G45" i="6"/>
  <c r="G50" i="6"/>
  <c r="G37" i="6"/>
  <c r="G36" i="6"/>
  <c r="G32" i="6"/>
  <c r="G44" i="6"/>
  <c r="G43" i="6"/>
  <c r="G30" i="6"/>
  <c r="D51" i="6"/>
  <c r="E51" i="6" s="1"/>
  <c r="D342" i="6" l="1"/>
  <c r="E342" i="6" s="1"/>
  <c r="N252" i="1"/>
  <c r="K252" i="1"/>
  <c r="D343" i="6"/>
  <c r="E343" i="6" s="1"/>
  <c r="F343" i="6"/>
  <c r="I342" i="6"/>
  <c r="G342" i="6"/>
  <c r="F46" i="6"/>
  <c r="I46" i="6" s="1"/>
  <c r="K46" i="6" s="1"/>
  <c r="K9" i="1"/>
  <c r="N9" i="1"/>
  <c r="K10" i="1"/>
  <c r="N10" i="1"/>
  <c r="K8" i="1"/>
  <c r="N8" i="1"/>
  <c r="K6" i="1"/>
  <c r="N6" i="1"/>
  <c r="K43" i="1"/>
  <c r="N43" i="1"/>
  <c r="K52" i="1"/>
  <c r="N52" i="1"/>
  <c r="K51" i="1"/>
  <c r="N51" i="1"/>
  <c r="D21" i="6"/>
  <c r="E21" i="6" s="1"/>
  <c r="I21" i="6" s="1"/>
  <c r="K21" i="6" s="1"/>
  <c r="D45" i="6"/>
  <c r="E45" i="6" s="1"/>
  <c r="I45" i="6" s="1"/>
  <c r="K45" i="6" s="1"/>
  <c r="D39" i="6"/>
  <c r="E39" i="6" s="1"/>
  <c r="I39" i="6" s="1"/>
  <c r="K39" i="6" s="1"/>
  <c r="J10" i="6"/>
  <c r="J44" i="6"/>
  <c r="J18" i="6"/>
  <c r="J34" i="6"/>
  <c r="J7" i="6"/>
  <c r="J17" i="6"/>
  <c r="J28" i="6"/>
  <c r="J8" i="6"/>
  <c r="J50" i="6"/>
  <c r="J9" i="6"/>
  <c r="J4" i="6"/>
  <c r="J43" i="6"/>
  <c r="J37" i="6"/>
  <c r="J29" i="6"/>
  <c r="J6" i="6"/>
  <c r="J20" i="6"/>
  <c r="J5" i="6"/>
  <c r="J40" i="6"/>
  <c r="J30" i="6"/>
  <c r="J32" i="6"/>
  <c r="J22" i="6"/>
  <c r="J36" i="6"/>
  <c r="F26" i="6"/>
  <c r="I26" i="6" s="1"/>
  <c r="K26" i="6" s="1"/>
  <c r="D41" i="6"/>
  <c r="E41" i="6" s="1"/>
  <c r="I41" i="6" s="1"/>
  <c r="K41" i="6" s="1"/>
  <c r="D42" i="6"/>
  <c r="E42" i="6" s="1"/>
  <c r="I42" i="6" s="1"/>
  <c r="K42" i="6" s="1"/>
  <c r="D35" i="6"/>
  <c r="E35" i="6" s="1"/>
  <c r="I35" i="6" s="1"/>
  <c r="K35" i="6" s="1"/>
  <c r="D38" i="6"/>
  <c r="E38" i="6" s="1"/>
  <c r="I38" i="6" s="1"/>
  <c r="K38" i="6" s="1"/>
  <c r="I16" i="6"/>
  <c r="K16" i="6" s="1"/>
  <c r="D19" i="6"/>
  <c r="E19" i="6" s="1"/>
  <c r="I19" i="6" s="1"/>
  <c r="K19" i="6" s="1"/>
  <c r="I47" i="6"/>
  <c r="K47" i="6" s="1"/>
  <c r="I48" i="6"/>
  <c r="K48" i="6" s="1"/>
  <c r="I23" i="6"/>
  <c r="K23" i="6" s="1"/>
  <c r="I49" i="6"/>
  <c r="K49" i="6" s="1"/>
  <c r="I24" i="6"/>
  <c r="K24" i="6" s="1"/>
  <c r="I25" i="6"/>
  <c r="K25" i="6" s="1"/>
  <c r="D14" i="6"/>
  <c r="E14" i="6" s="1"/>
  <c r="F14" i="6"/>
  <c r="I31" i="6"/>
  <c r="K31" i="6" s="1"/>
  <c r="I15" i="6"/>
  <c r="K15" i="6" s="1"/>
  <c r="I51" i="6"/>
  <c r="K51" i="6" s="1"/>
  <c r="I27" i="6"/>
  <c r="K27" i="6" s="1"/>
  <c r="G3" i="6"/>
  <c r="I3" i="6"/>
  <c r="K3" i="6" s="1"/>
  <c r="G33" i="6"/>
  <c r="I33" i="6"/>
  <c r="K33" i="6" s="1"/>
  <c r="G12" i="6"/>
  <c r="D13" i="6"/>
  <c r="E13" i="6" s="1"/>
  <c r="I13" i="6" s="1"/>
  <c r="K13" i="6" s="1"/>
  <c r="G34" i="6"/>
  <c r="D12" i="6"/>
  <c r="E12" i="6" s="1"/>
  <c r="I12" i="6" s="1"/>
  <c r="K12" i="6" s="1"/>
  <c r="G29" i="6"/>
  <c r="G27" i="6"/>
  <c r="G13" i="6"/>
  <c r="G19" i="6"/>
  <c r="D11" i="6"/>
  <c r="E11" i="6" s="1"/>
  <c r="G47" i="6"/>
  <c r="G48" i="6"/>
  <c r="G46" i="6" l="1"/>
  <c r="J342" i="6"/>
  <c r="K342" i="6"/>
  <c r="I343" i="6"/>
  <c r="G343" i="6"/>
  <c r="J39" i="6"/>
  <c r="J21" i="6"/>
  <c r="J45" i="6"/>
  <c r="J19" i="6"/>
  <c r="J35" i="6"/>
  <c r="J42" i="6"/>
  <c r="J47" i="6"/>
  <c r="J46" i="6"/>
  <c r="J12" i="6"/>
  <c r="J16" i="6"/>
  <c r="J31" i="6"/>
  <c r="J38" i="6"/>
  <c r="J13" i="6"/>
  <c r="J25" i="6"/>
  <c r="J41" i="6"/>
  <c r="J33" i="6"/>
  <c r="J24" i="6"/>
  <c r="J26" i="6"/>
  <c r="J49" i="6"/>
  <c r="J48" i="6"/>
  <c r="J27" i="6"/>
  <c r="J51" i="6"/>
  <c r="J15" i="6"/>
  <c r="J3" i="6"/>
  <c r="J23" i="6"/>
  <c r="G26" i="6"/>
  <c r="I14" i="6"/>
  <c r="K14" i="6" s="1"/>
  <c r="I11" i="6"/>
  <c r="K11" i="6" s="1"/>
  <c r="G14" i="6"/>
  <c r="G11" i="6"/>
  <c r="J343" i="6" l="1"/>
  <c r="K343" i="6"/>
  <c r="J11" i="6"/>
  <c r="J14" i="6"/>
  <c r="B57" i="6"/>
  <c r="B58" i="6"/>
  <c r="B64" i="6"/>
  <c r="B65" i="6"/>
  <c r="B66" i="6"/>
  <c r="F66" i="6" s="1"/>
  <c r="B67" i="6"/>
  <c r="B68" i="6"/>
  <c r="F68" i="6" s="1"/>
  <c r="B69" i="6"/>
  <c r="F69" i="6" s="1"/>
  <c r="B70" i="6"/>
  <c r="B71" i="6"/>
  <c r="B72" i="6"/>
  <c r="B73" i="6"/>
  <c r="B74" i="6"/>
  <c r="F74" i="6" s="1"/>
  <c r="B75" i="6"/>
  <c r="F75" i="6" s="1"/>
  <c r="B76" i="6"/>
  <c r="B78" i="6"/>
  <c r="F78" i="6" s="1"/>
  <c r="B79" i="6"/>
  <c r="F79" i="6" s="1"/>
  <c r="B83" i="6"/>
  <c r="F83" i="6" s="1"/>
  <c r="B84" i="6"/>
  <c r="F84" i="6" s="1"/>
  <c r="B85" i="6"/>
  <c r="F85" i="6" s="1"/>
  <c r="B86" i="6"/>
  <c r="F86" i="6" s="1"/>
  <c r="B87" i="6"/>
  <c r="F87" i="6" s="1"/>
  <c r="B89" i="6"/>
  <c r="B92" i="6"/>
  <c r="F92" i="6" s="1"/>
  <c r="B93" i="6"/>
  <c r="F93" i="6" s="1"/>
  <c r="B97" i="6"/>
  <c r="B99" i="6"/>
  <c r="F99" i="6" s="1"/>
  <c r="B100" i="6"/>
  <c r="B106" i="6"/>
  <c r="F106" i="6" s="1"/>
  <c r="B107" i="6"/>
  <c r="F107" i="6" s="1"/>
  <c r="B113" i="6"/>
  <c r="B114" i="6"/>
  <c r="B120" i="6"/>
  <c r="F120" i="6" s="1"/>
  <c r="B121" i="6"/>
  <c r="F121" i="6" s="1"/>
  <c r="B127" i="6"/>
  <c r="F127" i="6" s="1"/>
  <c r="B128" i="6"/>
  <c r="F128" i="6" s="1"/>
  <c r="B129" i="6"/>
  <c r="F129" i="6" s="1"/>
  <c r="B130" i="6"/>
  <c r="F130" i="6" s="1"/>
  <c r="B131" i="6"/>
  <c r="F131" i="6" s="1"/>
  <c r="B132" i="6"/>
  <c r="B133" i="6"/>
  <c r="F133" i="6" s="1"/>
  <c r="B134" i="6"/>
  <c r="F134" i="6" s="1"/>
  <c r="B135" i="6"/>
  <c r="F135" i="6" s="1"/>
  <c r="B136" i="6"/>
  <c r="B137" i="6"/>
  <c r="B138" i="6"/>
  <c r="B139" i="6"/>
  <c r="B140" i="6"/>
  <c r="B141" i="6"/>
  <c r="B142" i="6"/>
  <c r="F142" i="6" s="1"/>
  <c r="B143" i="6"/>
  <c r="F143" i="6" s="1"/>
  <c r="B144" i="6"/>
  <c r="F144" i="6" s="1"/>
  <c r="B145" i="6"/>
  <c r="F145" i="6" s="1"/>
  <c r="B146" i="6"/>
  <c r="F146" i="6" s="1"/>
  <c r="K146" i="6" s="1"/>
  <c r="B147" i="6"/>
  <c r="F147" i="6" s="1"/>
  <c r="B148" i="6"/>
  <c r="B149" i="6"/>
  <c r="F149" i="6" s="1"/>
  <c r="B150" i="6"/>
  <c r="B151" i="6"/>
  <c r="F151" i="6" s="1"/>
  <c r="B152" i="6"/>
  <c r="F152" i="6" s="1"/>
  <c r="B153" i="6"/>
  <c r="F153" i="6" s="1"/>
  <c r="B154" i="6"/>
  <c r="F154" i="6" s="1"/>
  <c r="B155" i="6"/>
  <c r="B156" i="6"/>
  <c r="B157" i="6"/>
  <c r="B158" i="6"/>
  <c r="F158" i="6" s="1"/>
  <c r="B159" i="6"/>
  <c r="F159" i="6" s="1"/>
  <c r="B160" i="6"/>
  <c r="B161" i="6"/>
  <c r="F161" i="6" s="1"/>
  <c r="B162" i="6"/>
  <c r="F162" i="6" s="1"/>
  <c r="B163" i="6"/>
  <c r="B164" i="6"/>
  <c r="F164" i="6" s="1"/>
  <c r="B165" i="6"/>
  <c r="F165" i="6" s="1"/>
  <c r="B166" i="6"/>
  <c r="F166" i="6" s="1"/>
  <c r="B167" i="6"/>
  <c r="F167" i="6" s="1"/>
  <c r="B168" i="6"/>
  <c r="F168" i="6" s="1"/>
  <c r="B169" i="6"/>
  <c r="F169" i="6" s="1"/>
  <c r="B170" i="6"/>
  <c r="F170" i="6" s="1"/>
  <c r="B171" i="6"/>
  <c r="F171" i="6" s="1"/>
  <c r="B172" i="6"/>
  <c r="B173" i="6"/>
  <c r="F173" i="6" s="1"/>
  <c r="B174" i="6"/>
  <c r="F174" i="6" s="1"/>
  <c r="B175" i="6"/>
  <c r="B176" i="6"/>
  <c r="B177" i="6"/>
  <c r="B178" i="6"/>
  <c r="B179" i="6"/>
  <c r="B180" i="6"/>
  <c r="F180" i="6" s="1"/>
  <c r="B181" i="6"/>
  <c r="F181" i="6" s="1"/>
  <c r="B182" i="6"/>
  <c r="F182" i="6" s="1"/>
  <c r="B183" i="6"/>
  <c r="F183" i="6" s="1"/>
  <c r="B184" i="6"/>
  <c r="B185" i="6"/>
  <c r="F185" i="6" s="1"/>
  <c r="B186" i="6"/>
  <c r="B187" i="6"/>
  <c r="B188" i="6"/>
  <c r="F188" i="6" s="1"/>
  <c r="B189" i="6"/>
  <c r="F189" i="6" s="1"/>
  <c r="B190" i="6"/>
  <c r="F190" i="6" s="1"/>
  <c r="B191" i="6"/>
  <c r="F191" i="6" s="1"/>
  <c r="B192" i="6"/>
  <c r="B193" i="6"/>
  <c r="B194" i="6"/>
  <c r="F194" i="6" s="1"/>
  <c r="B195" i="6"/>
  <c r="F195" i="6" s="1"/>
  <c r="B196" i="6"/>
  <c r="B197" i="6"/>
  <c r="F197" i="6" s="1"/>
  <c r="B198" i="6"/>
  <c r="F198" i="6" s="1"/>
  <c r="B199" i="6"/>
  <c r="F199" i="6" s="1"/>
  <c r="B200" i="6"/>
  <c r="F200" i="6" s="1"/>
  <c r="B201" i="6"/>
  <c r="F201" i="6" s="1"/>
  <c r="B202" i="6"/>
  <c r="F202" i="6" s="1"/>
  <c r="B203" i="6"/>
  <c r="F203" i="6" s="1"/>
  <c r="B204" i="6"/>
  <c r="B205" i="6"/>
  <c r="B206" i="6"/>
  <c r="F206" i="6" s="1"/>
  <c r="B207" i="6"/>
  <c r="F207" i="6" s="1"/>
  <c r="B208" i="6"/>
  <c r="B209" i="6"/>
  <c r="F209" i="6" s="1"/>
  <c r="B210" i="6"/>
  <c r="B211" i="6"/>
  <c r="B212" i="6"/>
  <c r="F212" i="6" s="1"/>
  <c r="B213" i="6"/>
  <c r="F213" i="6" s="1"/>
  <c r="B214" i="6"/>
  <c r="F214" i="6" s="1"/>
  <c r="B215" i="6"/>
  <c r="F215" i="6" s="1"/>
  <c r="B216" i="6"/>
  <c r="F216" i="6" s="1"/>
  <c r="B217" i="6"/>
  <c r="B218" i="6"/>
  <c r="F218" i="6" s="1"/>
  <c r="B219" i="6"/>
  <c r="F219" i="6" s="1"/>
  <c r="B220" i="6"/>
  <c r="B221" i="6"/>
  <c r="F221" i="6" s="1"/>
  <c r="B222" i="6"/>
  <c r="B223" i="6"/>
  <c r="B224" i="6"/>
  <c r="B225" i="6"/>
  <c r="B226" i="6"/>
  <c r="B227" i="6"/>
  <c r="B228" i="6"/>
  <c r="F228" i="6" s="1"/>
  <c r="B229" i="6"/>
  <c r="F229" i="6" s="1"/>
  <c r="B230" i="6"/>
  <c r="F230" i="6" s="1"/>
  <c r="B231" i="6"/>
  <c r="F231" i="6" s="1"/>
  <c r="B232" i="6"/>
  <c r="B233" i="6"/>
  <c r="F233" i="6" s="1"/>
  <c r="B234" i="6"/>
  <c r="F234" i="6" s="1"/>
  <c r="B235" i="6"/>
  <c r="B236" i="6"/>
  <c r="F236" i="6" s="1"/>
  <c r="B237" i="6"/>
  <c r="B238" i="6"/>
  <c r="B239" i="6"/>
  <c r="F239" i="6" s="1"/>
  <c r="B240" i="6"/>
  <c r="F240" i="6" s="1"/>
  <c r="B241" i="6"/>
  <c r="F241" i="6" s="1"/>
  <c r="B242" i="6"/>
  <c r="F242" i="6" s="1"/>
  <c r="B243" i="6"/>
  <c r="F243" i="6" s="1"/>
  <c r="B244" i="6"/>
  <c r="B245" i="6"/>
  <c r="F245" i="6" s="1"/>
  <c r="B246" i="6"/>
  <c r="F246" i="6" s="1"/>
  <c r="B247" i="6"/>
  <c r="F247" i="6" s="1"/>
  <c r="B248" i="6"/>
  <c r="B249" i="6"/>
  <c r="F249" i="6" s="1"/>
  <c r="B250" i="6"/>
  <c r="B251" i="6"/>
  <c r="F251" i="6" s="1"/>
  <c r="B252" i="6"/>
  <c r="F252" i="6" s="1"/>
  <c r="B253" i="6"/>
  <c r="F253" i="6" s="1"/>
  <c r="B254" i="6"/>
  <c r="F254" i="6" s="1"/>
  <c r="B255" i="6"/>
  <c r="F255" i="6" s="1"/>
  <c r="B256" i="6"/>
  <c r="B257" i="6"/>
  <c r="F257" i="6" s="1"/>
  <c r="B258" i="6"/>
  <c r="F258" i="6" s="1"/>
  <c r="B259" i="6"/>
  <c r="B260" i="6"/>
  <c r="B261" i="6"/>
  <c r="B262" i="6"/>
  <c r="F262" i="6" s="1"/>
  <c r="B263" i="6"/>
  <c r="F263" i="6" s="1"/>
  <c r="B264" i="6"/>
  <c r="F264" i="6" s="1"/>
  <c r="B265" i="6"/>
  <c r="F265" i="6" s="1"/>
  <c r="B266" i="6"/>
  <c r="F266" i="6" s="1"/>
  <c r="B267" i="6"/>
  <c r="F267" i="6" s="1"/>
  <c r="B268" i="6"/>
  <c r="B269" i="6"/>
  <c r="F269" i="6" s="1"/>
  <c r="B270" i="6"/>
  <c r="F270" i="6" s="1"/>
  <c r="B271" i="6"/>
  <c r="B272" i="6"/>
  <c r="B273" i="6"/>
  <c r="B274" i="6"/>
  <c r="B275" i="6"/>
  <c r="F275" i="6" s="1"/>
  <c r="B276" i="6"/>
  <c r="F276" i="6" s="1"/>
  <c r="B277" i="6"/>
  <c r="F277" i="6" s="1"/>
  <c r="B278" i="6"/>
  <c r="F278" i="6" s="1"/>
  <c r="B279" i="6"/>
  <c r="F279" i="6" s="1"/>
  <c r="B280" i="6"/>
  <c r="B281" i="6"/>
  <c r="F281" i="6" s="1"/>
  <c r="B282" i="6"/>
  <c r="F282" i="6" s="1"/>
  <c r="B283" i="6"/>
  <c r="F283" i="6" s="1"/>
  <c r="B284" i="6"/>
  <c r="F284" i="6" s="1"/>
  <c r="B285" i="6"/>
  <c r="F285" i="6" s="1"/>
  <c r="B286" i="6"/>
  <c r="B287" i="6"/>
  <c r="B288" i="6"/>
  <c r="B289" i="6"/>
  <c r="B290" i="6"/>
  <c r="F290" i="6" s="1"/>
  <c r="B291" i="6"/>
  <c r="F291" i="6" s="1"/>
  <c r="B292" i="6"/>
  <c r="B293" i="6"/>
  <c r="F293" i="6" s="1"/>
  <c r="B294" i="6"/>
  <c r="F294" i="6" s="1"/>
  <c r="B295" i="6"/>
  <c r="B296" i="6"/>
  <c r="B297" i="6"/>
  <c r="B298" i="6"/>
  <c r="F298" i="6" s="1"/>
  <c r="B299" i="6"/>
  <c r="F299" i="6" s="1"/>
  <c r="B300" i="6"/>
  <c r="F300" i="6" s="1"/>
  <c r="B301" i="6"/>
  <c r="F301" i="6" s="1"/>
  <c r="B302" i="6"/>
  <c r="F302" i="6" s="1"/>
  <c r="B303" i="6"/>
  <c r="F303" i="6" s="1"/>
  <c r="B304" i="6"/>
  <c r="B305" i="6"/>
  <c r="F305" i="6" s="1"/>
  <c r="B306" i="6"/>
  <c r="F306" i="6" s="1"/>
  <c r="B307" i="6"/>
  <c r="B308" i="6"/>
  <c r="F308" i="6" s="1"/>
  <c r="B309" i="6"/>
  <c r="B310" i="6"/>
  <c r="F310" i="6" s="1"/>
  <c r="B311" i="6"/>
  <c r="F311" i="6" s="1"/>
  <c r="B312" i="6"/>
  <c r="B313" i="6"/>
  <c r="B314" i="6"/>
  <c r="F314" i="6" s="1"/>
  <c r="B315" i="6"/>
  <c r="F315" i="6" s="1"/>
  <c r="B316" i="6"/>
  <c r="B317" i="6"/>
  <c r="F317" i="6" s="1"/>
  <c r="B318" i="6"/>
  <c r="F318" i="6" s="1"/>
  <c r="B319" i="6"/>
  <c r="F319" i="6" s="1"/>
  <c r="B320" i="6"/>
  <c r="B321" i="6"/>
  <c r="F321" i="6" s="1"/>
  <c r="B322" i="6"/>
  <c r="B323" i="6"/>
  <c r="B324" i="6"/>
  <c r="F324" i="6" s="1"/>
  <c r="B325" i="6"/>
  <c r="F325" i="6" s="1"/>
  <c r="B326" i="6"/>
  <c r="F326" i="6" s="1"/>
  <c r="B327" i="6"/>
  <c r="F327" i="6" s="1"/>
  <c r="B328" i="6"/>
  <c r="B329" i="6"/>
  <c r="F329" i="6" s="1"/>
  <c r="B330" i="6"/>
  <c r="F330" i="6" s="1"/>
  <c r="B331" i="6"/>
  <c r="B332" i="6"/>
  <c r="B333" i="6"/>
  <c r="B334" i="6"/>
  <c r="F334" i="6" s="1"/>
  <c r="B335" i="6"/>
  <c r="F335" i="6" s="1"/>
  <c r="B336" i="6"/>
  <c r="B337" i="6"/>
  <c r="F337" i="6" s="1"/>
  <c r="B338" i="6"/>
  <c r="F338" i="6" s="1"/>
  <c r="B339" i="6"/>
  <c r="F339" i="6" s="1"/>
  <c r="B340" i="6"/>
  <c r="B341" i="6"/>
  <c r="F341" i="6" s="1"/>
  <c r="G40" i="5"/>
  <c r="G52" i="5"/>
  <c r="F4" i="5"/>
  <c r="G4" i="5" s="1"/>
  <c r="H1" i="5"/>
  <c r="F5" i="5"/>
  <c r="G5" i="5" s="1"/>
  <c r="F6" i="5"/>
  <c r="G6" i="5" s="1"/>
  <c r="F7" i="5"/>
  <c r="G7" i="5" s="1"/>
  <c r="F8" i="5"/>
  <c r="G8" i="5" s="1"/>
  <c r="F9" i="5"/>
  <c r="G9" i="5" s="1"/>
  <c r="F10" i="5"/>
  <c r="G10" i="5" s="1"/>
  <c r="F11" i="5"/>
  <c r="G11" i="5" s="1"/>
  <c r="F12" i="5"/>
  <c r="G12" i="5" s="1"/>
  <c r="F13" i="5"/>
  <c r="G13" i="5" s="1"/>
  <c r="F14" i="5"/>
  <c r="G14" i="5" s="1"/>
  <c r="F15" i="5"/>
  <c r="G15" i="5" s="1"/>
  <c r="F16" i="5"/>
  <c r="G16" i="5" s="1"/>
  <c r="F17" i="5"/>
  <c r="G17" i="5" s="1"/>
  <c r="F18" i="5"/>
  <c r="G18" i="5" s="1"/>
  <c r="F19" i="5"/>
  <c r="G19" i="5" s="1"/>
  <c r="F20" i="5"/>
  <c r="G20" i="5" s="1"/>
  <c r="F21" i="5"/>
  <c r="G21" i="5" s="1"/>
  <c r="F22" i="5"/>
  <c r="G22" i="5" s="1"/>
  <c r="F23" i="5"/>
  <c r="G23" i="5" s="1"/>
  <c r="F24" i="5"/>
  <c r="G24" i="5" s="1"/>
  <c r="F25" i="5"/>
  <c r="G25" i="5" s="1"/>
  <c r="F26" i="5"/>
  <c r="G26" i="5" s="1"/>
  <c r="F27" i="5"/>
  <c r="G27" i="5" s="1"/>
  <c r="F28" i="5"/>
  <c r="G28" i="5" s="1"/>
  <c r="F29" i="5"/>
  <c r="G29" i="5" s="1"/>
  <c r="F30" i="5"/>
  <c r="G30" i="5" s="1"/>
  <c r="F31" i="5"/>
  <c r="G31" i="5" s="1"/>
  <c r="F32" i="5"/>
  <c r="G32" i="5" s="1"/>
  <c r="F33" i="5"/>
  <c r="G33" i="5" s="1"/>
  <c r="F34" i="5"/>
  <c r="G34" i="5" s="1"/>
  <c r="F35" i="5"/>
  <c r="G35" i="5" s="1"/>
  <c r="F36" i="5"/>
  <c r="G36" i="5" s="1"/>
  <c r="F37" i="5"/>
  <c r="G37" i="5" s="1"/>
  <c r="F38" i="5"/>
  <c r="G38" i="5" s="1"/>
  <c r="F39" i="5"/>
  <c r="G39" i="5" s="1"/>
  <c r="F40" i="5"/>
  <c r="F41" i="5"/>
  <c r="G41" i="5" s="1"/>
  <c r="F42" i="5"/>
  <c r="G42" i="5" s="1"/>
  <c r="F43" i="5"/>
  <c r="G43" i="5" s="1"/>
  <c r="F44" i="5"/>
  <c r="G44" i="5" s="1"/>
  <c r="F45" i="5"/>
  <c r="G45" i="5" s="1"/>
  <c r="F46" i="5"/>
  <c r="G46" i="5" s="1"/>
  <c r="F47" i="5"/>
  <c r="G47" i="5" s="1"/>
  <c r="F48" i="5"/>
  <c r="G48" i="5" s="1"/>
  <c r="F49" i="5"/>
  <c r="G49" i="5" s="1"/>
  <c r="F50" i="5"/>
  <c r="G50" i="5" s="1"/>
  <c r="F51" i="5"/>
  <c r="G51" i="5" s="1"/>
  <c r="F52" i="5"/>
  <c r="F53" i="5"/>
  <c r="G53" i="5" s="1"/>
  <c r="F54" i="5"/>
  <c r="G54" i="5" s="1"/>
  <c r="F55" i="5"/>
  <c r="G55" i="5" s="1"/>
  <c r="F56" i="5"/>
  <c r="G56" i="5" s="1"/>
  <c r="D5" i="5"/>
  <c r="E5" i="5" s="1"/>
  <c r="D6" i="5"/>
  <c r="E6" i="5" s="1"/>
  <c r="D7" i="5"/>
  <c r="E7" i="5" s="1"/>
  <c r="D8" i="5"/>
  <c r="E8" i="5" s="1"/>
  <c r="D9" i="5"/>
  <c r="E9" i="5" s="1"/>
  <c r="D10" i="5"/>
  <c r="D11" i="5"/>
  <c r="D12" i="5"/>
  <c r="E12" i="5" s="1"/>
  <c r="D13" i="5"/>
  <c r="E13" i="5" s="1"/>
  <c r="D14" i="5"/>
  <c r="E14" i="5" s="1"/>
  <c r="D15" i="5"/>
  <c r="E15" i="5" s="1"/>
  <c r="D16" i="5"/>
  <c r="E16" i="5" s="1"/>
  <c r="D17" i="5"/>
  <c r="E17" i="5" s="1"/>
  <c r="D18" i="5"/>
  <c r="E18" i="5" s="1"/>
  <c r="D19" i="5"/>
  <c r="E19" i="5" s="1"/>
  <c r="D20" i="5"/>
  <c r="E20" i="5" s="1"/>
  <c r="D21" i="5"/>
  <c r="E21" i="5" s="1"/>
  <c r="D22" i="5"/>
  <c r="E22" i="5" s="1"/>
  <c r="D23" i="5"/>
  <c r="E23" i="5" s="1"/>
  <c r="D24" i="5"/>
  <c r="E24" i="5" s="1"/>
  <c r="D25" i="5"/>
  <c r="E25" i="5" s="1"/>
  <c r="D26" i="5"/>
  <c r="E26" i="5" s="1"/>
  <c r="D27" i="5"/>
  <c r="E27" i="5" s="1"/>
  <c r="D28" i="5"/>
  <c r="E28" i="5" s="1"/>
  <c r="D29" i="5"/>
  <c r="E29" i="5" s="1"/>
  <c r="D30" i="5"/>
  <c r="D31" i="5"/>
  <c r="D32" i="5"/>
  <c r="D33" i="5"/>
  <c r="D34" i="5"/>
  <c r="D35" i="5"/>
  <c r="D36" i="5"/>
  <c r="E36" i="5" s="1"/>
  <c r="D37" i="5"/>
  <c r="E37" i="5" s="1"/>
  <c r="D38" i="5"/>
  <c r="E38" i="5" s="1"/>
  <c r="D39" i="5"/>
  <c r="E39" i="5" s="1"/>
  <c r="D40" i="5"/>
  <c r="E40" i="5" s="1"/>
  <c r="D41" i="5"/>
  <c r="E41" i="5" s="1"/>
  <c r="D42" i="5"/>
  <c r="D43" i="5"/>
  <c r="D44" i="5"/>
  <c r="D45" i="5"/>
  <c r="D46" i="5"/>
  <c r="D47" i="5"/>
  <c r="D48" i="5"/>
  <c r="E48" i="5" s="1"/>
  <c r="D49" i="5"/>
  <c r="E49" i="5" s="1"/>
  <c r="D50" i="5"/>
  <c r="E50" i="5" s="1"/>
  <c r="D51" i="5"/>
  <c r="E51" i="5" s="1"/>
  <c r="D52" i="5"/>
  <c r="E52" i="5" s="1"/>
  <c r="D53" i="5"/>
  <c r="E53" i="5" s="1"/>
  <c r="D54" i="5"/>
  <c r="D55" i="5"/>
  <c r="D56" i="5"/>
  <c r="D4" i="5"/>
  <c r="E4" i="5" s="1"/>
  <c r="E10" i="5"/>
  <c r="E11" i="5"/>
  <c r="E30" i="5"/>
  <c r="E31" i="5"/>
  <c r="E32" i="5"/>
  <c r="E33" i="5"/>
  <c r="E34" i="5"/>
  <c r="E35" i="5"/>
  <c r="E42" i="5"/>
  <c r="E43" i="5"/>
  <c r="E44" i="5"/>
  <c r="E45" i="5"/>
  <c r="E46" i="5"/>
  <c r="E47" i="5"/>
  <c r="E54" i="5"/>
  <c r="E55" i="5"/>
  <c r="E56" i="5"/>
  <c r="J146" i="1"/>
  <c r="J150" i="1"/>
  <c r="J162" i="1"/>
  <c r="K162" i="1" l="1"/>
  <c r="N162" i="1"/>
  <c r="K150" i="1"/>
  <c r="N150" i="1"/>
  <c r="K146" i="1"/>
  <c r="N146" i="1"/>
  <c r="D312" i="6"/>
  <c r="E312" i="6" s="1"/>
  <c r="F312" i="6"/>
  <c r="D332" i="6"/>
  <c r="E332" i="6" s="1"/>
  <c r="F332" i="6"/>
  <c r="D320" i="6"/>
  <c r="E320" i="6" s="1"/>
  <c r="F320" i="6"/>
  <c r="D296" i="6"/>
  <c r="E296" i="6" s="1"/>
  <c r="F296" i="6"/>
  <c r="D272" i="6"/>
  <c r="E272" i="6" s="1"/>
  <c r="F272" i="6"/>
  <c r="D260" i="6"/>
  <c r="E260" i="6" s="1"/>
  <c r="F260" i="6"/>
  <c r="D248" i="6"/>
  <c r="E248" i="6" s="1"/>
  <c r="F248" i="6"/>
  <c r="D224" i="6"/>
  <c r="E224" i="6" s="1"/>
  <c r="F224" i="6"/>
  <c r="D176" i="6"/>
  <c r="E176" i="6" s="1"/>
  <c r="F176" i="6"/>
  <c r="D140" i="6"/>
  <c r="E140" i="6" s="1"/>
  <c r="F140" i="6"/>
  <c r="D73" i="6"/>
  <c r="E73" i="6" s="1"/>
  <c r="F73" i="6"/>
  <c r="D328" i="6"/>
  <c r="E328" i="6" s="1"/>
  <c r="F328" i="6"/>
  <c r="D259" i="6"/>
  <c r="E259" i="6" s="1"/>
  <c r="F259" i="6"/>
  <c r="D235" i="6"/>
  <c r="E235" i="6" s="1"/>
  <c r="F235" i="6"/>
  <c r="D223" i="6"/>
  <c r="E223" i="6" s="1"/>
  <c r="F223" i="6"/>
  <c r="D211" i="6"/>
  <c r="E211" i="6" s="1"/>
  <c r="F211" i="6"/>
  <c r="D187" i="6"/>
  <c r="E187" i="6" s="1"/>
  <c r="F187" i="6"/>
  <c r="D175" i="6"/>
  <c r="E175" i="6" s="1"/>
  <c r="F175" i="6"/>
  <c r="D163" i="6"/>
  <c r="E163" i="6" s="1"/>
  <c r="F163" i="6"/>
  <c r="D139" i="6"/>
  <c r="E139" i="6" s="1"/>
  <c r="F139" i="6"/>
  <c r="D89" i="6"/>
  <c r="E89" i="6" s="1"/>
  <c r="F89" i="6"/>
  <c r="D72" i="6"/>
  <c r="E72" i="6" s="1"/>
  <c r="F72" i="6"/>
  <c r="D331" i="6"/>
  <c r="E331" i="6" s="1"/>
  <c r="F331" i="6"/>
  <c r="D307" i="6"/>
  <c r="E307" i="6" s="1"/>
  <c r="F307" i="6"/>
  <c r="D295" i="6"/>
  <c r="E295" i="6" s="1"/>
  <c r="F295" i="6"/>
  <c r="D271" i="6"/>
  <c r="E271" i="6" s="1"/>
  <c r="F271" i="6"/>
  <c r="D222" i="6"/>
  <c r="E222" i="6" s="1"/>
  <c r="F222" i="6"/>
  <c r="D210" i="6"/>
  <c r="E210" i="6" s="1"/>
  <c r="F210" i="6"/>
  <c r="D186" i="6"/>
  <c r="E186" i="6" s="1"/>
  <c r="F186" i="6"/>
  <c r="D150" i="6"/>
  <c r="E150" i="6" s="1"/>
  <c r="F150" i="6"/>
  <c r="D138" i="6"/>
  <c r="E138" i="6" s="1"/>
  <c r="F138" i="6"/>
  <c r="D71" i="6"/>
  <c r="E71" i="6" s="1"/>
  <c r="F71" i="6"/>
  <c r="D137" i="6"/>
  <c r="E137" i="6" s="1"/>
  <c r="F137" i="6"/>
  <c r="D70" i="6"/>
  <c r="E70" i="6" s="1"/>
  <c r="F70" i="6"/>
  <c r="D340" i="6"/>
  <c r="E340" i="6" s="1"/>
  <c r="F340" i="6"/>
  <c r="D304" i="6"/>
  <c r="E304" i="6" s="1"/>
  <c r="F304" i="6"/>
  <c r="D292" i="6"/>
  <c r="E292" i="6" s="1"/>
  <c r="F292" i="6"/>
  <c r="D280" i="6"/>
  <c r="E280" i="6" s="1"/>
  <c r="F280" i="6"/>
  <c r="D268" i="6"/>
  <c r="E268" i="6" s="1"/>
  <c r="F268" i="6"/>
  <c r="D256" i="6"/>
  <c r="E256" i="6" s="1"/>
  <c r="F256" i="6"/>
  <c r="D244" i="6"/>
  <c r="E244" i="6" s="1"/>
  <c r="F244" i="6"/>
  <c r="D232" i="6"/>
  <c r="E232" i="6" s="1"/>
  <c r="F232" i="6"/>
  <c r="D220" i="6"/>
  <c r="E220" i="6" s="1"/>
  <c r="F220" i="6"/>
  <c r="D208" i="6"/>
  <c r="E208" i="6" s="1"/>
  <c r="F208" i="6"/>
  <c r="D196" i="6"/>
  <c r="E196" i="6" s="1"/>
  <c r="F196" i="6"/>
  <c r="G196" i="6" s="1"/>
  <c r="D184" i="6"/>
  <c r="E184" i="6" s="1"/>
  <c r="F184" i="6"/>
  <c r="D172" i="6"/>
  <c r="E172" i="6" s="1"/>
  <c r="F172" i="6"/>
  <c r="D160" i="6"/>
  <c r="E160" i="6" s="1"/>
  <c r="F160" i="6"/>
  <c r="D148" i="6"/>
  <c r="E148" i="6" s="1"/>
  <c r="F148" i="6"/>
  <c r="D136" i="6"/>
  <c r="E136" i="6" s="1"/>
  <c r="F136" i="6"/>
  <c r="D114" i="6"/>
  <c r="E114" i="6" s="1"/>
  <c r="F114" i="6"/>
  <c r="D113" i="6"/>
  <c r="E113" i="6" s="1"/>
  <c r="F113" i="6"/>
  <c r="D67" i="6"/>
  <c r="E67" i="6" s="1"/>
  <c r="F67" i="6"/>
  <c r="D313" i="6"/>
  <c r="E313" i="6" s="1"/>
  <c r="F313" i="6"/>
  <c r="D289" i="6"/>
  <c r="E289" i="6" s="1"/>
  <c r="F289" i="6"/>
  <c r="D217" i="6"/>
  <c r="E217" i="6" s="1"/>
  <c r="F217" i="6"/>
  <c r="D205" i="6"/>
  <c r="E205" i="6" s="1"/>
  <c r="F205" i="6"/>
  <c r="D193" i="6"/>
  <c r="E193" i="6" s="1"/>
  <c r="F193" i="6"/>
  <c r="D157" i="6"/>
  <c r="E157" i="6" s="1"/>
  <c r="F157" i="6"/>
  <c r="D336" i="6"/>
  <c r="E336" i="6" s="1"/>
  <c r="F336" i="6"/>
  <c r="D204" i="6"/>
  <c r="E204" i="6" s="1"/>
  <c r="F204" i="6"/>
  <c r="D192" i="6"/>
  <c r="E192" i="6" s="1"/>
  <c r="F192" i="6"/>
  <c r="D156" i="6"/>
  <c r="E156" i="6" s="1"/>
  <c r="F156" i="6"/>
  <c r="D132" i="6"/>
  <c r="E132" i="6" s="1"/>
  <c r="F132" i="6"/>
  <c r="D100" i="6"/>
  <c r="E100" i="6" s="1"/>
  <c r="F100" i="6"/>
  <c r="D65" i="6"/>
  <c r="E65" i="6" s="1"/>
  <c r="F65" i="6"/>
  <c r="D287" i="6"/>
  <c r="E287" i="6" s="1"/>
  <c r="F287" i="6"/>
  <c r="D227" i="6"/>
  <c r="E227" i="6" s="1"/>
  <c r="F227" i="6"/>
  <c r="D179" i="6"/>
  <c r="E179" i="6" s="1"/>
  <c r="F179" i="6"/>
  <c r="D155" i="6"/>
  <c r="E155" i="6" s="1"/>
  <c r="F155" i="6"/>
  <c r="D76" i="6"/>
  <c r="E76" i="6" s="1"/>
  <c r="F76" i="6"/>
  <c r="D64" i="6"/>
  <c r="E64" i="6" s="1"/>
  <c r="F64" i="6"/>
  <c r="D316" i="6"/>
  <c r="E316" i="6" s="1"/>
  <c r="F316" i="6"/>
  <c r="D286" i="6"/>
  <c r="E286" i="6" s="1"/>
  <c r="F286" i="6"/>
  <c r="D250" i="6"/>
  <c r="E250" i="6" s="1"/>
  <c r="F250" i="6"/>
  <c r="D238" i="6"/>
  <c r="E238" i="6" s="1"/>
  <c r="F238" i="6"/>
  <c r="D226" i="6"/>
  <c r="E226" i="6" s="1"/>
  <c r="F226" i="6"/>
  <c r="D178" i="6"/>
  <c r="E178" i="6" s="1"/>
  <c r="F178" i="6"/>
  <c r="D154" i="6"/>
  <c r="E154" i="6" s="1"/>
  <c r="D97" i="6"/>
  <c r="E97" i="6" s="1"/>
  <c r="F97" i="6"/>
  <c r="G97" i="6" s="1"/>
  <c r="D58" i="6"/>
  <c r="E58" i="6" s="1"/>
  <c r="F58" i="6"/>
  <c r="D288" i="6"/>
  <c r="E288" i="6" s="1"/>
  <c r="F288" i="6"/>
  <c r="D323" i="6"/>
  <c r="E323" i="6" s="1"/>
  <c r="F323" i="6"/>
  <c r="D322" i="6"/>
  <c r="E322" i="6" s="1"/>
  <c r="F322" i="6"/>
  <c r="D274" i="6"/>
  <c r="E274" i="6" s="1"/>
  <c r="F274" i="6"/>
  <c r="D333" i="6"/>
  <c r="E333" i="6" s="1"/>
  <c r="F333" i="6"/>
  <c r="D309" i="6"/>
  <c r="E309" i="6" s="1"/>
  <c r="F309" i="6"/>
  <c r="D297" i="6"/>
  <c r="E297" i="6" s="1"/>
  <c r="F297" i="6"/>
  <c r="D273" i="6"/>
  <c r="E273" i="6" s="1"/>
  <c r="F273" i="6"/>
  <c r="D261" i="6"/>
  <c r="E261" i="6" s="1"/>
  <c r="F261" i="6"/>
  <c r="D237" i="6"/>
  <c r="E237" i="6" s="1"/>
  <c r="F237" i="6"/>
  <c r="D225" i="6"/>
  <c r="E225" i="6" s="1"/>
  <c r="F225" i="6"/>
  <c r="D177" i="6"/>
  <c r="E177" i="6" s="1"/>
  <c r="F177" i="6"/>
  <c r="D141" i="6"/>
  <c r="E141" i="6" s="1"/>
  <c r="F141" i="6"/>
  <c r="D57" i="6"/>
  <c r="E57" i="6" s="1"/>
  <c r="F57" i="6"/>
  <c r="G266" i="6"/>
  <c r="G218" i="6"/>
  <c r="G182" i="6"/>
  <c r="G170" i="6"/>
  <c r="G158" i="6"/>
  <c r="G146" i="6"/>
  <c r="G107" i="6"/>
  <c r="G302" i="6"/>
  <c r="G181" i="6"/>
  <c r="G133" i="6"/>
  <c r="G106" i="6"/>
  <c r="G314" i="6"/>
  <c r="G264" i="6"/>
  <c r="G216" i="6"/>
  <c r="G180" i="6"/>
  <c r="G144" i="6"/>
  <c r="G79" i="6"/>
  <c r="G278" i="6"/>
  <c r="G338" i="6"/>
  <c r="G254" i="6"/>
  <c r="G241" i="6"/>
  <c r="G335" i="6"/>
  <c r="G311" i="6"/>
  <c r="G263" i="6"/>
  <c r="G78" i="6"/>
  <c r="G334" i="6"/>
  <c r="G310" i="6"/>
  <c r="G262" i="6"/>
  <c r="G202" i="6"/>
  <c r="G166" i="6"/>
  <c r="G290" i="6"/>
  <c r="G337" i="6"/>
  <c r="G265" i="6"/>
  <c r="D195" i="6"/>
  <c r="E195" i="6" s="1"/>
  <c r="I195" i="6" s="1"/>
  <c r="K195" i="6" s="1"/>
  <c r="D255" i="6"/>
  <c r="E255" i="6" s="1"/>
  <c r="I255" i="6" s="1"/>
  <c r="K255" i="6" s="1"/>
  <c r="D231" i="6"/>
  <c r="E231" i="6" s="1"/>
  <c r="I231" i="6" s="1"/>
  <c r="K231" i="6" s="1"/>
  <c r="D203" i="6"/>
  <c r="E203" i="6" s="1"/>
  <c r="I203" i="6" s="1"/>
  <c r="K203" i="6" s="1"/>
  <c r="D202" i="6"/>
  <c r="E202" i="6" s="1"/>
  <c r="I202" i="6" s="1"/>
  <c r="K202" i="6" s="1"/>
  <c r="D162" i="6"/>
  <c r="E162" i="6" s="1"/>
  <c r="I162" i="6" s="1"/>
  <c r="K162" i="6" s="1"/>
  <c r="D159" i="6"/>
  <c r="E159" i="6" s="1"/>
  <c r="I159" i="6" s="1"/>
  <c r="K159" i="6" s="1"/>
  <c r="D311" i="6"/>
  <c r="E311" i="6" s="1"/>
  <c r="I311" i="6" s="1"/>
  <c r="K311" i="6" s="1"/>
  <c r="D79" i="6"/>
  <c r="E79" i="6" s="1"/>
  <c r="I79" i="6" s="1"/>
  <c r="K79" i="6" s="1"/>
  <c r="D310" i="6"/>
  <c r="E310" i="6" s="1"/>
  <c r="I310" i="6" s="1"/>
  <c r="K310" i="6" s="1"/>
  <c r="D78" i="6"/>
  <c r="E78" i="6" s="1"/>
  <c r="I78" i="6" s="1"/>
  <c r="K78" i="6" s="1"/>
  <c r="D303" i="6"/>
  <c r="E303" i="6" s="1"/>
  <c r="I303" i="6" s="1"/>
  <c r="K303" i="6" s="1"/>
  <c r="D75" i="6"/>
  <c r="E75" i="6" s="1"/>
  <c r="I75" i="6" s="1"/>
  <c r="K75" i="6" s="1"/>
  <c r="D267" i="6"/>
  <c r="E267" i="6" s="1"/>
  <c r="I267" i="6" s="1"/>
  <c r="K267" i="6" s="1"/>
  <c r="D206" i="6"/>
  <c r="E206" i="6" s="1"/>
  <c r="I206" i="6" s="1"/>
  <c r="K206" i="6" s="1"/>
  <c r="D120" i="6"/>
  <c r="E120" i="6" s="1"/>
  <c r="I120" i="6" s="1"/>
  <c r="K120" i="6" s="1"/>
  <c r="D266" i="6"/>
  <c r="E266" i="6" s="1"/>
  <c r="I266" i="6" s="1"/>
  <c r="K266" i="6" s="1"/>
  <c r="D106" i="6"/>
  <c r="E106" i="6" s="1"/>
  <c r="I106" i="6" s="1"/>
  <c r="K106" i="6" s="1"/>
  <c r="D166" i="6"/>
  <c r="E166" i="6" s="1"/>
  <c r="I166" i="6" s="1"/>
  <c r="K166" i="6" s="1"/>
  <c r="D74" i="6"/>
  <c r="E74" i="6" s="1"/>
  <c r="I74" i="6" s="1"/>
  <c r="K74" i="6" s="1"/>
  <c r="D230" i="6"/>
  <c r="E230" i="6" s="1"/>
  <c r="I230" i="6" s="1"/>
  <c r="K230" i="6" s="1"/>
  <c r="D134" i="6"/>
  <c r="E134" i="6" s="1"/>
  <c r="I134" i="6" s="1"/>
  <c r="K134" i="6" s="1"/>
  <c r="D121" i="6"/>
  <c r="E121" i="6" s="1"/>
  <c r="I121" i="6" s="1"/>
  <c r="K121" i="6" s="1"/>
  <c r="D302" i="6"/>
  <c r="E302" i="6" s="1"/>
  <c r="I302" i="6" s="1"/>
  <c r="K302" i="6" s="1"/>
  <c r="D107" i="6"/>
  <c r="E107" i="6" s="1"/>
  <c r="I107" i="6" s="1"/>
  <c r="K107" i="6" s="1"/>
  <c r="D194" i="6"/>
  <c r="E194" i="6" s="1"/>
  <c r="I194" i="6" s="1"/>
  <c r="K194" i="6" s="1"/>
  <c r="D254" i="6"/>
  <c r="E254" i="6" s="1"/>
  <c r="I254" i="6" s="1"/>
  <c r="K254" i="6" s="1"/>
  <c r="D234" i="6"/>
  <c r="E234" i="6" s="1"/>
  <c r="I234" i="6" s="1"/>
  <c r="K234" i="6" s="1"/>
  <c r="D158" i="6"/>
  <c r="E158" i="6" s="1"/>
  <c r="I158" i="6" s="1"/>
  <c r="K158" i="6" s="1"/>
  <c r="D327" i="6"/>
  <c r="E327" i="6" s="1"/>
  <c r="I327" i="6" s="1"/>
  <c r="K327" i="6" s="1"/>
  <c r="D242" i="6"/>
  <c r="E242" i="6" s="1"/>
  <c r="I242" i="6" s="1"/>
  <c r="K242" i="6" s="1"/>
  <c r="D218" i="6"/>
  <c r="E218" i="6" s="1"/>
  <c r="I218" i="6" s="1"/>
  <c r="K218" i="6" s="1"/>
  <c r="D183" i="6"/>
  <c r="E183" i="6" s="1"/>
  <c r="I183" i="6" s="1"/>
  <c r="K183" i="6" s="1"/>
  <c r="D144" i="6"/>
  <c r="E144" i="6" s="1"/>
  <c r="I144" i="6" s="1"/>
  <c r="K144" i="6" s="1"/>
  <c r="D66" i="6"/>
  <c r="E66" i="6" s="1"/>
  <c r="I66" i="6" s="1"/>
  <c r="K66" i="6" s="1"/>
  <c r="D127" i="6"/>
  <c r="E127" i="6" s="1"/>
  <c r="I127" i="6" s="1"/>
  <c r="K127" i="6" s="1"/>
  <c r="D339" i="6"/>
  <c r="E339" i="6" s="1"/>
  <c r="I339" i="6" s="1"/>
  <c r="K339" i="6" s="1"/>
  <c r="D291" i="6"/>
  <c r="E291" i="6" s="1"/>
  <c r="I291" i="6" s="1"/>
  <c r="K291" i="6" s="1"/>
  <c r="D246" i="6"/>
  <c r="E246" i="6" s="1"/>
  <c r="I246" i="6" s="1"/>
  <c r="K246" i="6" s="1"/>
  <c r="D338" i="6"/>
  <c r="E338" i="6" s="1"/>
  <c r="I338" i="6" s="1"/>
  <c r="K338" i="6" s="1"/>
  <c r="D290" i="6"/>
  <c r="E290" i="6" s="1"/>
  <c r="I290" i="6" s="1"/>
  <c r="K290" i="6" s="1"/>
  <c r="D243" i="6"/>
  <c r="E243" i="6" s="1"/>
  <c r="I243" i="6" s="1"/>
  <c r="K243" i="6" s="1"/>
  <c r="D219" i="6"/>
  <c r="E219" i="6" s="1"/>
  <c r="I219" i="6" s="1"/>
  <c r="K219" i="6" s="1"/>
  <c r="D146" i="6"/>
  <c r="E146" i="6" s="1"/>
  <c r="J146" i="6" s="1"/>
  <c r="D326" i="6"/>
  <c r="E326" i="6" s="1"/>
  <c r="I326" i="6" s="1"/>
  <c r="K326" i="6" s="1"/>
  <c r="D241" i="6"/>
  <c r="E241" i="6" s="1"/>
  <c r="I241" i="6" s="1"/>
  <c r="K241" i="6" s="1"/>
  <c r="D182" i="6"/>
  <c r="E182" i="6" s="1"/>
  <c r="I182" i="6" s="1"/>
  <c r="K182" i="6" s="1"/>
  <c r="D143" i="6"/>
  <c r="E143" i="6" s="1"/>
  <c r="I143" i="6" s="1"/>
  <c r="K143" i="6" s="1"/>
  <c r="D198" i="6"/>
  <c r="E198" i="6" s="1"/>
  <c r="I198" i="6" s="1"/>
  <c r="K198" i="6" s="1"/>
  <c r="D315" i="6"/>
  <c r="E315" i="6" s="1"/>
  <c r="I315" i="6" s="1"/>
  <c r="K315" i="6" s="1"/>
  <c r="D240" i="6"/>
  <c r="E240" i="6" s="1"/>
  <c r="I240" i="6" s="1"/>
  <c r="K240" i="6" s="1"/>
  <c r="D216" i="6"/>
  <c r="E216" i="6" s="1"/>
  <c r="I216" i="6" s="1"/>
  <c r="K216" i="6" s="1"/>
  <c r="D174" i="6"/>
  <c r="E174" i="6" s="1"/>
  <c r="I174" i="6" s="1"/>
  <c r="K174" i="6" s="1"/>
  <c r="D142" i="6"/>
  <c r="E142" i="6" s="1"/>
  <c r="I142" i="6" s="1"/>
  <c r="K142" i="6" s="1"/>
  <c r="D258" i="6"/>
  <c r="E258" i="6" s="1"/>
  <c r="I258" i="6" s="1"/>
  <c r="K258" i="6" s="1"/>
  <c r="D147" i="6"/>
  <c r="E147" i="6" s="1"/>
  <c r="K147" i="6" s="1"/>
  <c r="D314" i="6"/>
  <c r="E314" i="6" s="1"/>
  <c r="I314" i="6" s="1"/>
  <c r="K314" i="6" s="1"/>
  <c r="D279" i="6"/>
  <c r="E279" i="6" s="1"/>
  <c r="I279" i="6" s="1"/>
  <c r="K279" i="6" s="1"/>
  <c r="D239" i="6"/>
  <c r="E239" i="6" s="1"/>
  <c r="I239" i="6" s="1"/>
  <c r="K239" i="6" s="1"/>
  <c r="D171" i="6"/>
  <c r="E171" i="6" s="1"/>
  <c r="I171" i="6" s="1"/>
  <c r="D87" i="6"/>
  <c r="E87" i="6" s="1"/>
  <c r="I87" i="6" s="1"/>
  <c r="K87" i="6" s="1"/>
  <c r="D99" i="6"/>
  <c r="E99" i="6" s="1"/>
  <c r="I99" i="6" s="1"/>
  <c r="K99" i="6" s="1"/>
  <c r="D278" i="6"/>
  <c r="E278" i="6" s="1"/>
  <c r="I278" i="6" s="1"/>
  <c r="K278" i="6" s="1"/>
  <c r="D207" i="6"/>
  <c r="E207" i="6" s="1"/>
  <c r="I207" i="6" s="1"/>
  <c r="K207" i="6" s="1"/>
  <c r="D170" i="6"/>
  <c r="E170" i="6" s="1"/>
  <c r="I170" i="6" s="1"/>
  <c r="K170" i="6" s="1"/>
  <c r="D135" i="6"/>
  <c r="E135" i="6" s="1"/>
  <c r="I135" i="6" s="1"/>
  <c r="K135" i="6" s="1"/>
  <c r="D86" i="6"/>
  <c r="E86" i="6" s="1"/>
  <c r="I86" i="6" s="1"/>
  <c r="K86" i="6" s="1"/>
  <c r="D308" i="6"/>
  <c r="E308" i="6" s="1"/>
  <c r="D284" i="6"/>
  <c r="E284" i="6" s="1"/>
  <c r="D236" i="6"/>
  <c r="E236" i="6" s="1"/>
  <c r="D212" i="6"/>
  <c r="E212" i="6" s="1"/>
  <c r="D200" i="6"/>
  <c r="E200" i="6" s="1"/>
  <c r="D188" i="6"/>
  <c r="E188" i="6" s="1"/>
  <c r="D164" i="6"/>
  <c r="E164" i="6" s="1"/>
  <c r="D152" i="6"/>
  <c r="E152" i="6" s="1"/>
  <c r="D128" i="6"/>
  <c r="E128" i="6" s="1"/>
  <c r="D92" i="6"/>
  <c r="E92" i="6" s="1"/>
  <c r="D68" i="6"/>
  <c r="E68" i="6" s="1"/>
  <c r="D325" i="6"/>
  <c r="E325" i="6" s="1"/>
  <c r="D301" i="6"/>
  <c r="E301" i="6" s="1"/>
  <c r="D277" i="6"/>
  <c r="E277" i="6" s="1"/>
  <c r="D253" i="6"/>
  <c r="E253" i="6" s="1"/>
  <c r="D229" i="6"/>
  <c r="E229" i="6" s="1"/>
  <c r="D169" i="6"/>
  <c r="E169" i="6" s="1"/>
  <c r="D145" i="6"/>
  <c r="E145" i="6" s="1"/>
  <c r="D337" i="6"/>
  <c r="E337" i="6" s="1"/>
  <c r="I337" i="6" s="1"/>
  <c r="K337" i="6" s="1"/>
  <c r="D265" i="6"/>
  <c r="E265" i="6" s="1"/>
  <c r="I265" i="6" s="1"/>
  <c r="K265" i="6" s="1"/>
  <c r="D133" i="6"/>
  <c r="E133" i="6" s="1"/>
  <c r="I133" i="6" s="1"/>
  <c r="K133" i="6" s="1"/>
  <c r="D85" i="6"/>
  <c r="E85" i="6" s="1"/>
  <c r="I85" i="6" s="1"/>
  <c r="K85" i="6" s="1"/>
  <c r="D324" i="6"/>
  <c r="E324" i="6" s="1"/>
  <c r="D300" i="6"/>
  <c r="E300" i="6" s="1"/>
  <c r="D276" i="6"/>
  <c r="E276" i="6" s="1"/>
  <c r="D252" i="6"/>
  <c r="E252" i="6" s="1"/>
  <c r="D228" i="6"/>
  <c r="E228" i="6" s="1"/>
  <c r="D168" i="6"/>
  <c r="E168" i="6" s="1"/>
  <c r="D264" i="6"/>
  <c r="E264" i="6" s="1"/>
  <c r="I264" i="6" s="1"/>
  <c r="K264" i="6" s="1"/>
  <c r="D181" i="6"/>
  <c r="E181" i="6" s="1"/>
  <c r="I181" i="6" s="1"/>
  <c r="K181" i="6" s="1"/>
  <c r="D84" i="6"/>
  <c r="E84" i="6" s="1"/>
  <c r="I84" i="6" s="1"/>
  <c r="K84" i="6" s="1"/>
  <c r="D299" i="6"/>
  <c r="E299" i="6" s="1"/>
  <c r="D275" i="6"/>
  <c r="E275" i="6" s="1"/>
  <c r="D251" i="6"/>
  <c r="E251" i="6" s="1"/>
  <c r="D215" i="6"/>
  <c r="E215" i="6" s="1"/>
  <c r="D191" i="6"/>
  <c r="E191" i="6" s="1"/>
  <c r="D167" i="6"/>
  <c r="E167" i="6" s="1"/>
  <c r="D131" i="6"/>
  <c r="E131" i="6" s="1"/>
  <c r="D335" i="6"/>
  <c r="E335" i="6" s="1"/>
  <c r="I335" i="6" s="1"/>
  <c r="K335" i="6" s="1"/>
  <c r="D263" i="6"/>
  <c r="E263" i="6" s="1"/>
  <c r="I263" i="6" s="1"/>
  <c r="K263" i="6" s="1"/>
  <c r="D180" i="6"/>
  <c r="E180" i="6" s="1"/>
  <c r="I180" i="6" s="1"/>
  <c r="K180" i="6" s="1"/>
  <c r="D83" i="6"/>
  <c r="E83" i="6" s="1"/>
  <c r="I83" i="6" s="1"/>
  <c r="K83" i="6" s="1"/>
  <c r="D298" i="6"/>
  <c r="E298" i="6" s="1"/>
  <c r="D214" i="6"/>
  <c r="E214" i="6" s="1"/>
  <c r="D190" i="6"/>
  <c r="E190" i="6" s="1"/>
  <c r="D130" i="6"/>
  <c r="E130" i="6" s="1"/>
  <c r="D334" i="6"/>
  <c r="E334" i="6" s="1"/>
  <c r="I334" i="6" s="1"/>
  <c r="K334" i="6" s="1"/>
  <c r="D262" i="6"/>
  <c r="E262" i="6" s="1"/>
  <c r="I262" i="6" s="1"/>
  <c r="K262" i="6" s="1"/>
  <c r="D321" i="6"/>
  <c r="E321" i="6" s="1"/>
  <c r="D285" i="6"/>
  <c r="E285" i="6" s="1"/>
  <c r="D249" i="6"/>
  <c r="E249" i="6" s="1"/>
  <c r="D213" i="6"/>
  <c r="E213" i="6" s="1"/>
  <c r="D201" i="6"/>
  <c r="E201" i="6" s="1"/>
  <c r="D189" i="6"/>
  <c r="E189" i="6" s="1"/>
  <c r="D165" i="6"/>
  <c r="E165" i="6" s="1"/>
  <c r="D153" i="6"/>
  <c r="E153" i="6" s="1"/>
  <c r="D129" i="6"/>
  <c r="E129" i="6" s="1"/>
  <c r="D93" i="6"/>
  <c r="E93" i="6" s="1"/>
  <c r="D69" i="6"/>
  <c r="E69" i="6" s="1"/>
  <c r="D319" i="6"/>
  <c r="E319" i="6" s="1"/>
  <c r="D283" i="6"/>
  <c r="E283" i="6" s="1"/>
  <c r="D247" i="6"/>
  <c r="E247" i="6" s="1"/>
  <c r="D199" i="6"/>
  <c r="E199" i="6" s="1"/>
  <c r="I199" i="6" s="1"/>
  <c r="K199" i="6" s="1"/>
  <c r="D151" i="6"/>
  <c r="E151" i="6" s="1"/>
  <c r="I151" i="6" s="1"/>
  <c r="K151" i="6" s="1"/>
  <c r="D330" i="6"/>
  <c r="E330" i="6" s="1"/>
  <c r="I330" i="6" s="1"/>
  <c r="K330" i="6" s="1"/>
  <c r="D318" i="6"/>
  <c r="E318" i="6" s="1"/>
  <c r="I318" i="6" s="1"/>
  <c r="K318" i="6" s="1"/>
  <c r="D306" i="6"/>
  <c r="E306" i="6" s="1"/>
  <c r="I306" i="6" s="1"/>
  <c r="K306" i="6" s="1"/>
  <c r="D294" i="6"/>
  <c r="E294" i="6" s="1"/>
  <c r="I294" i="6" s="1"/>
  <c r="K294" i="6" s="1"/>
  <c r="D282" i="6"/>
  <c r="E282" i="6" s="1"/>
  <c r="I282" i="6" s="1"/>
  <c r="K282" i="6" s="1"/>
  <c r="D270" i="6"/>
  <c r="E270" i="6" s="1"/>
  <c r="I270" i="6" s="1"/>
  <c r="K270" i="6" s="1"/>
  <c r="D341" i="6"/>
  <c r="E341" i="6" s="1"/>
  <c r="I341" i="6" s="1"/>
  <c r="K341" i="6" s="1"/>
  <c r="D329" i="6"/>
  <c r="E329" i="6" s="1"/>
  <c r="I329" i="6" s="1"/>
  <c r="K329" i="6" s="1"/>
  <c r="D317" i="6"/>
  <c r="E317" i="6" s="1"/>
  <c r="I317" i="6" s="1"/>
  <c r="K317" i="6" s="1"/>
  <c r="D305" i="6"/>
  <c r="E305" i="6" s="1"/>
  <c r="I305" i="6" s="1"/>
  <c r="K305" i="6" s="1"/>
  <c r="D293" i="6"/>
  <c r="E293" i="6" s="1"/>
  <c r="I293" i="6" s="1"/>
  <c r="K293" i="6" s="1"/>
  <c r="D281" i="6"/>
  <c r="E281" i="6" s="1"/>
  <c r="I281" i="6" s="1"/>
  <c r="K281" i="6" s="1"/>
  <c r="D269" i="6"/>
  <c r="E269" i="6" s="1"/>
  <c r="I269" i="6" s="1"/>
  <c r="K269" i="6" s="1"/>
  <c r="D257" i="6"/>
  <c r="E257" i="6" s="1"/>
  <c r="I257" i="6" s="1"/>
  <c r="K257" i="6" s="1"/>
  <c r="D245" i="6"/>
  <c r="E245" i="6" s="1"/>
  <c r="I245" i="6" s="1"/>
  <c r="K245" i="6" s="1"/>
  <c r="D233" i="6"/>
  <c r="E233" i="6" s="1"/>
  <c r="I233" i="6" s="1"/>
  <c r="K233" i="6" s="1"/>
  <c r="D221" i="6"/>
  <c r="E221" i="6" s="1"/>
  <c r="I221" i="6" s="1"/>
  <c r="K221" i="6" s="1"/>
  <c r="D209" i="6"/>
  <c r="E209" i="6" s="1"/>
  <c r="I209" i="6" s="1"/>
  <c r="K209" i="6" s="1"/>
  <c r="D197" i="6"/>
  <c r="E197" i="6" s="1"/>
  <c r="I197" i="6" s="1"/>
  <c r="K197" i="6" s="1"/>
  <c r="D185" i="6"/>
  <c r="E185" i="6" s="1"/>
  <c r="I185" i="6" s="1"/>
  <c r="K185" i="6" s="1"/>
  <c r="D173" i="6"/>
  <c r="E173" i="6" s="1"/>
  <c r="I173" i="6" s="1"/>
  <c r="K173" i="6" s="1"/>
  <c r="D161" i="6"/>
  <c r="E161" i="6" s="1"/>
  <c r="I161" i="6" s="1"/>
  <c r="K161" i="6" s="1"/>
  <c r="D149" i="6"/>
  <c r="E149" i="6" s="1"/>
  <c r="I149" i="6" s="1"/>
  <c r="K149" i="6" s="1"/>
  <c r="G87" i="6"/>
  <c r="G99" i="6"/>
  <c r="G339" i="6"/>
  <c r="G291" i="6"/>
  <c r="G279" i="6"/>
  <c r="G255" i="6"/>
  <c r="G243" i="6"/>
  <c r="G231" i="6"/>
  <c r="G195" i="6"/>
  <c r="G171" i="6"/>
  <c r="G159" i="6"/>
  <c r="G147" i="6"/>
  <c r="G85" i="6"/>
  <c r="G303" i="6"/>
  <c r="G135" i="6"/>
  <c r="G267" i="6"/>
  <c r="G143" i="6"/>
  <c r="G75" i="6"/>
  <c r="G74" i="6"/>
  <c r="G199" i="6"/>
  <c r="G151" i="6"/>
  <c r="G327" i="6"/>
  <c r="G183" i="6"/>
  <c r="G294" i="6"/>
  <c r="G270" i="6"/>
  <c r="G258" i="6"/>
  <c r="G341" i="6"/>
  <c r="G317" i="6"/>
  <c r="G305" i="6"/>
  <c r="G269" i="6"/>
  <c r="G197" i="6"/>
  <c r="G185" i="6"/>
  <c r="G161" i="6"/>
  <c r="G209" i="6"/>
  <c r="G66" i="6"/>
  <c r="K171" i="6" l="1"/>
  <c r="J135" i="6"/>
  <c r="J170" i="6"/>
  <c r="J221" i="6"/>
  <c r="J234" i="6"/>
  <c r="J254" i="6"/>
  <c r="J194" i="6"/>
  <c r="J181" i="6"/>
  <c r="J107" i="6"/>
  <c r="J330" i="6"/>
  <c r="J180" i="6"/>
  <c r="J264" i="6"/>
  <c r="J171" i="6"/>
  <c r="J143" i="6"/>
  <c r="J127" i="6"/>
  <c r="J302" i="6"/>
  <c r="J303" i="6"/>
  <c r="J197" i="6"/>
  <c r="J327" i="6"/>
  <c r="J266" i="6"/>
  <c r="J338" i="6"/>
  <c r="J246" i="6"/>
  <c r="J291" i="6"/>
  <c r="J339" i="6"/>
  <c r="J239" i="6"/>
  <c r="J199" i="6"/>
  <c r="J144" i="6"/>
  <c r="J326" i="6"/>
  <c r="J79" i="6"/>
  <c r="J334" i="6"/>
  <c r="J142" i="6"/>
  <c r="J162" i="6"/>
  <c r="J270" i="6"/>
  <c r="J174" i="6"/>
  <c r="J158" i="6"/>
  <c r="J282" i="6"/>
  <c r="J133" i="6"/>
  <c r="J207" i="6"/>
  <c r="J216" i="6"/>
  <c r="J120" i="6"/>
  <c r="J233" i="6"/>
  <c r="J265" i="6"/>
  <c r="J278" i="6"/>
  <c r="J231" i="6"/>
  <c r="J245" i="6"/>
  <c r="J84" i="6"/>
  <c r="J99" i="6"/>
  <c r="J255" i="6"/>
  <c r="J257" i="6"/>
  <c r="J83" i="6"/>
  <c r="J198" i="6"/>
  <c r="J75" i="6"/>
  <c r="J269" i="6"/>
  <c r="J151" i="6"/>
  <c r="J66" i="6"/>
  <c r="J78" i="6"/>
  <c r="J149" i="6"/>
  <c r="J335" i="6"/>
  <c r="J279" i="6"/>
  <c r="J134" i="6"/>
  <c r="J161" i="6"/>
  <c r="J314" i="6"/>
  <c r="J173" i="6"/>
  <c r="J311" i="6"/>
  <c r="J341" i="6"/>
  <c r="J243" i="6"/>
  <c r="J106" i="6"/>
  <c r="J209" i="6"/>
  <c r="J85" i="6"/>
  <c r="J290" i="6"/>
  <c r="J202" i="6"/>
  <c r="J203" i="6"/>
  <c r="J294" i="6"/>
  <c r="J240" i="6"/>
  <c r="J206" i="6"/>
  <c r="J306" i="6"/>
  <c r="J337" i="6"/>
  <c r="J315" i="6"/>
  <c r="J267" i="6"/>
  <c r="J318" i="6"/>
  <c r="J87" i="6"/>
  <c r="J195" i="6"/>
  <c r="J281" i="6"/>
  <c r="J263" i="6"/>
  <c r="J182" i="6"/>
  <c r="J121" i="6"/>
  <c r="J293" i="6"/>
  <c r="J241" i="6"/>
  <c r="J310" i="6"/>
  <c r="J305" i="6"/>
  <c r="J183" i="6"/>
  <c r="J230" i="6"/>
  <c r="J317" i="6"/>
  <c r="J147" i="6"/>
  <c r="J218" i="6"/>
  <c r="J74" i="6"/>
  <c r="J185" i="6"/>
  <c r="J329" i="6"/>
  <c r="J262" i="6"/>
  <c r="J86" i="6"/>
  <c r="J258" i="6"/>
  <c r="J219" i="6"/>
  <c r="J242" i="6"/>
  <c r="J166" i="6"/>
  <c r="J159" i="6"/>
  <c r="I113" i="6"/>
  <c r="K113" i="6" s="1"/>
  <c r="I89" i="6"/>
  <c r="K89" i="6" s="1"/>
  <c r="I331" i="6"/>
  <c r="K331" i="6" s="1"/>
  <c r="I187" i="6"/>
  <c r="K187" i="6" s="1"/>
  <c r="I287" i="6"/>
  <c r="K287" i="6" s="1"/>
  <c r="I204" i="6"/>
  <c r="K204" i="6" s="1"/>
  <c r="I175" i="6"/>
  <c r="K175" i="6" s="1"/>
  <c r="I288" i="6"/>
  <c r="K288" i="6" s="1"/>
  <c r="I256" i="6"/>
  <c r="K256" i="6" s="1"/>
  <c r="I70" i="6"/>
  <c r="K70" i="6" s="1"/>
  <c r="I192" i="6"/>
  <c r="K192" i="6" s="1"/>
  <c r="I208" i="6"/>
  <c r="K208" i="6" s="1"/>
  <c r="I271" i="6"/>
  <c r="K271" i="6" s="1"/>
  <c r="I131" i="6"/>
  <c r="K131" i="6" s="1"/>
  <c r="I128" i="6"/>
  <c r="K128" i="6" s="1"/>
  <c r="I236" i="6"/>
  <c r="K236" i="6" s="1"/>
  <c r="I69" i="6"/>
  <c r="K69" i="6" s="1"/>
  <c r="I249" i="6"/>
  <c r="K249" i="6" s="1"/>
  <c r="I193" i="6"/>
  <c r="K193" i="6" s="1"/>
  <c r="I248" i="6"/>
  <c r="K248" i="6" s="1"/>
  <c r="I172" i="6"/>
  <c r="I224" i="6"/>
  <c r="K224" i="6" s="1"/>
  <c r="I212" i="6"/>
  <c r="K212" i="6" s="1"/>
  <c r="I316" i="6"/>
  <c r="K316" i="6" s="1"/>
  <c r="I191" i="6"/>
  <c r="K191" i="6" s="1"/>
  <c r="I176" i="6"/>
  <c r="K176" i="6" s="1"/>
  <c r="I188" i="6"/>
  <c r="K188" i="6" s="1"/>
  <c r="I319" i="6"/>
  <c r="K319" i="6" s="1"/>
  <c r="I277" i="6"/>
  <c r="K277" i="6" s="1"/>
  <c r="I68" i="6"/>
  <c r="K68" i="6" s="1"/>
  <c r="I325" i="6"/>
  <c r="K325" i="6" s="1"/>
  <c r="I280" i="6"/>
  <c r="K280" i="6" s="1"/>
  <c r="I167" i="6"/>
  <c r="K167" i="6" s="1"/>
  <c r="I300" i="6"/>
  <c r="K300" i="6" s="1"/>
  <c r="I320" i="6"/>
  <c r="K320" i="6" s="1"/>
  <c r="I152" i="6"/>
  <c r="K152" i="6" s="1"/>
  <c r="I150" i="6"/>
  <c r="K150" i="6" s="1"/>
  <c r="I65" i="6"/>
  <c r="K65" i="6" s="1"/>
  <c r="I259" i="6"/>
  <c r="K259" i="6" s="1"/>
  <c r="I138" i="6"/>
  <c r="K138" i="6" s="1"/>
  <c r="I322" i="6"/>
  <c r="K322" i="6" s="1"/>
  <c r="I312" i="6"/>
  <c r="K312" i="6" s="1"/>
  <c r="I177" i="6"/>
  <c r="K177" i="6" s="1"/>
  <c r="I137" i="6"/>
  <c r="K137" i="6" s="1"/>
  <c r="I304" i="6"/>
  <c r="K304" i="6" s="1"/>
  <c r="I247" i="6"/>
  <c r="K247" i="6" s="1"/>
  <c r="I229" i="6"/>
  <c r="K229" i="6" s="1"/>
  <c r="I164" i="6"/>
  <c r="K164" i="6" s="1"/>
  <c r="I308" i="6"/>
  <c r="K308" i="6" s="1"/>
  <c r="I178" i="6"/>
  <c r="K178" i="6" s="1"/>
  <c r="I184" i="6"/>
  <c r="K184" i="6" s="1"/>
  <c r="I340" i="6"/>
  <c r="K340" i="6" s="1"/>
  <c r="I261" i="6"/>
  <c r="K261" i="6" s="1"/>
  <c r="I155" i="6"/>
  <c r="K155" i="6" s="1"/>
  <c r="I309" i="6"/>
  <c r="K309" i="6" s="1"/>
  <c r="I136" i="6"/>
  <c r="K136" i="6" s="1"/>
  <c r="I285" i="6"/>
  <c r="K285" i="6" s="1"/>
  <c r="I324" i="6"/>
  <c r="K324" i="6" s="1"/>
  <c r="I260" i="6"/>
  <c r="K260" i="6" s="1"/>
  <c r="I114" i="6"/>
  <c r="K114" i="6" s="1"/>
  <c r="I211" i="6"/>
  <c r="K211" i="6" s="1"/>
  <c r="I292" i="6"/>
  <c r="K292" i="6" s="1"/>
  <c r="I163" i="6"/>
  <c r="K163" i="6" s="1"/>
  <c r="I214" i="6"/>
  <c r="K214" i="6" s="1"/>
  <c r="I283" i="6"/>
  <c r="K283" i="6" s="1"/>
  <c r="I321" i="6"/>
  <c r="K321" i="6" s="1"/>
  <c r="I298" i="6"/>
  <c r="K298" i="6" s="1"/>
  <c r="I253" i="6"/>
  <c r="K253" i="6" s="1"/>
  <c r="I296" i="6"/>
  <c r="K296" i="6" s="1"/>
  <c r="I148" i="6"/>
  <c r="K148" i="6" s="1"/>
  <c r="I238" i="6"/>
  <c r="K238" i="6" s="1"/>
  <c r="I154" i="6"/>
  <c r="K154" i="6" s="1"/>
  <c r="I336" i="6"/>
  <c r="K336" i="6" s="1"/>
  <c r="I313" i="6"/>
  <c r="K313" i="6" s="1"/>
  <c r="I179" i="6"/>
  <c r="K179" i="6" s="1"/>
  <c r="I132" i="6"/>
  <c r="K132" i="6" s="1"/>
  <c r="I100" i="6"/>
  <c r="K100" i="6" s="1"/>
  <c r="I153" i="6"/>
  <c r="K153" i="6" s="1"/>
  <c r="I165" i="6"/>
  <c r="K165" i="6" s="1"/>
  <c r="I189" i="6"/>
  <c r="K189" i="6" s="1"/>
  <c r="I73" i="6"/>
  <c r="K73" i="6" s="1"/>
  <c r="I215" i="6"/>
  <c r="K215" i="6" s="1"/>
  <c r="I168" i="6"/>
  <c r="K168" i="6" s="1"/>
  <c r="I332" i="6"/>
  <c r="K332" i="6" s="1"/>
  <c r="I210" i="6"/>
  <c r="K210" i="6" s="1"/>
  <c r="I323" i="6"/>
  <c r="K323" i="6" s="1"/>
  <c r="I57" i="6"/>
  <c r="K57" i="6" s="1"/>
  <c r="I160" i="6"/>
  <c r="K160" i="6" s="1"/>
  <c r="I272" i="6"/>
  <c r="K272" i="6" s="1"/>
  <c r="I244" i="6"/>
  <c r="K244" i="6" s="1"/>
  <c r="I157" i="6"/>
  <c r="K157" i="6" s="1"/>
  <c r="I71" i="6"/>
  <c r="K71" i="6" s="1"/>
  <c r="I227" i="6"/>
  <c r="K227" i="6" s="1"/>
  <c r="I72" i="6"/>
  <c r="K72" i="6" s="1"/>
  <c r="I196" i="6"/>
  <c r="K196" i="6" s="1"/>
  <c r="I251" i="6"/>
  <c r="K251" i="6" s="1"/>
  <c r="I228" i="6"/>
  <c r="K228" i="6" s="1"/>
  <c r="I200" i="6"/>
  <c r="K200" i="6" s="1"/>
  <c r="I235" i="6"/>
  <c r="K235" i="6" s="1"/>
  <c r="I328" i="6"/>
  <c r="K328" i="6" s="1"/>
  <c r="I186" i="6"/>
  <c r="K186" i="6" s="1"/>
  <c r="I97" i="6"/>
  <c r="K97" i="6" s="1"/>
  <c r="I217" i="6"/>
  <c r="K217" i="6" s="1"/>
  <c r="I225" i="6"/>
  <c r="K225" i="6" s="1"/>
  <c r="I301" i="6"/>
  <c r="K301" i="6" s="1"/>
  <c r="I222" i="6"/>
  <c r="K222" i="6" s="1"/>
  <c r="I273" i="6"/>
  <c r="K273" i="6" s="1"/>
  <c r="I286" i="6"/>
  <c r="K286" i="6" s="1"/>
  <c r="I237" i="6"/>
  <c r="K237" i="6" s="1"/>
  <c r="I130" i="6"/>
  <c r="I275" i="6"/>
  <c r="K275" i="6" s="1"/>
  <c r="I252" i="6"/>
  <c r="K252" i="6" s="1"/>
  <c r="I145" i="6"/>
  <c r="I92" i="6"/>
  <c r="K92" i="6" s="1"/>
  <c r="I139" i="6"/>
  <c r="K139" i="6" s="1"/>
  <c r="I295" i="6"/>
  <c r="K295" i="6" s="1"/>
  <c r="I333" i="6"/>
  <c r="K333" i="6" s="1"/>
  <c r="I297" i="6"/>
  <c r="K297" i="6" s="1"/>
  <c r="I226" i="6"/>
  <c r="K226" i="6" s="1"/>
  <c r="I201" i="6"/>
  <c r="K201" i="6" s="1"/>
  <c r="I67" i="6"/>
  <c r="K67" i="6" s="1"/>
  <c r="I64" i="6"/>
  <c r="K64" i="6" s="1"/>
  <c r="I156" i="6"/>
  <c r="K156" i="6" s="1"/>
  <c r="I232" i="6"/>
  <c r="K232" i="6" s="1"/>
  <c r="I93" i="6"/>
  <c r="K93" i="6" s="1"/>
  <c r="I213" i="6"/>
  <c r="K213" i="6" s="1"/>
  <c r="I307" i="6"/>
  <c r="K307" i="6" s="1"/>
  <c r="I129" i="6"/>
  <c r="K129" i="6" s="1"/>
  <c r="I190" i="6"/>
  <c r="K190" i="6" s="1"/>
  <c r="I299" i="6"/>
  <c r="K299" i="6" s="1"/>
  <c r="I276" i="6"/>
  <c r="K276" i="6" s="1"/>
  <c r="I169" i="6"/>
  <c r="K169" i="6" s="1"/>
  <c r="I140" i="6"/>
  <c r="I205" i="6"/>
  <c r="K205" i="6" s="1"/>
  <c r="I141" i="6"/>
  <c r="K141" i="6" s="1"/>
  <c r="I250" i="6"/>
  <c r="K250" i="6" s="1"/>
  <c r="I268" i="6"/>
  <c r="K268" i="6" s="1"/>
  <c r="I284" i="6"/>
  <c r="K284" i="6" s="1"/>
  <c r="I223" i="6"/>
  <c r="K223" i="6" s="1"/>
  <c r="I220" i="6"/>
  <c r="K220" i="6" s="1"/>
  <c r="I274" i="6"/>
  <c r="K274" i="6" s="1"/>
  <c r="I289" i="6"/>
  <c r="K289" i="6" s="1"/>
  <c r="I58" i="6"/>
  <c r="K58" i="6" s="1"/>
  <c r="I76" i="6"/>
  <c r="K76" i="6" s="1"/>
  <c r="G292" i="6"/>
  <c r="G320" i="6"/>
  <c r="G313" i="6"/>
  <c r="G73" i="6"/>
  <c r="G323" i="6"/>
  <c r="G328" i="6"/>
  <c r="G217" i="6"/>
  <c r="G225" i="6"/>
  <c r="G167" i="6"/>
  <c r="G177" i="6"/>
  <c r="G304" i="6"/>
  <c r="G316" i="6"/>
  <c r="G191" i="6"/>
  <c r="G340" i="6"/>
  <c r="G172" i="6"/>
  <c r="G253" i="6"/>
  <c r="G188" i="6"/>
  <c r="G179" i="6"/>
  <c r="G189" i="6"/>
  <c r="G210" i="6"/>
  <c r="G160" i="6"/>
  <c r="G272" i="6"/>
  <c r="G68" i="6"/>
  <c r="G244" i="6"/>
  <c r="G157" i="6"/>
  <c r="G69" i="6"/>
  <c r="G200" i="6"/>
  <c r="G235" i="6"/>
  <c r="G201" i="6"/>
  <c r="G301" i="6"/>
  <c r="G212" i="6"/>
  <c r="G222" i="6"/>
  <c r="G273" i="6"/>
  <c r="G286" i="6"/>
  <c r="G237" i="6"/>
  <c r="G261" i="6"/>
  <c r="G238" i="6"/>
  <c r="G145" i="6"/>
  <c r="G214" i="6"/>
  <c r="G165" i="6"/>
  <c r="G152" i="6"/>
  <c r="G322" i="6"/>
  <c r="G153" i="6"/>
  <c r="G296" i="6"/>
  <c r="G156" i="6"/>
  <c r="G190" i="6"/>
  <c r="G65" i="6"/>
  <c r="G247" i="6"/>
  <c r="G229" i="6"/>
  <c r="G155" i="6"/>
  <c r="G309" i="6"/>
  <c r="G136" i="6"/>
  <c r="G321" i="6"/>
  <c r="G298" i="6"/>
  <c r="G224" i="6"/>
  <c r="G154" i="6"/>
  <c r="G336" i="6"/>
  <c r="G130" i="6"/>
  <c r="G275" i="6"/>
  <c r="G139" i="6"/>
  <c r="G295" i="6"/>
  <c r="G333" i="6"/>
  <c r="G297" i="6"/>
  <c r="G93" i="6"/>
  <c r="G213" i="6"/>
  <c r="G325" i="6"/>
  <c r="G128" i="6"/>
  <c r="G236" i="6"/>
  <c r="G67" i="6"/>
  <c r="G307" i="6"/>
  <c r="G169" i="6"/>
  <c r="G140" i="6"/>
  <c r="G205" i="6"/>
  <c r="G141" i="6"/>
  <c r="G268" i="6"/>
  <c r="G284" i="6"/>
  <c r="G223" i="6"/>
  <c r="G220" i="6"/>
  <c r="G274" i="6"/>
  <c r="G58" i="6"/>
  <c r="G76" i="6"/>
  <c r="G287" i="6"/>
  <c r="G239" i="6"/>
  <c r="G203" i="6"/>
  <c r="G208" i="6"/>
  <c r="G211" i="6"/>
  <c r="G227" i="6"/>
  <c r="G242" i="6"/>
  <c r="G277" i="6"/>
  <c r="G186" i="6"/>
  <c r="G149" i="6"/>
  <c r="G293" i="6"/>
  <c r="G176" i="6"/>
  <c r="G288" i="6"/>
  <c r="G315" i="6"/>
  <c r="G148" i="6"/>
  <c r="G228" i="6"/>
  <c r="G230" i="6"/>
  <c r="G260" i="6"/>
  <c r="G329" i="6"/>
  <c r="G285" i="6"/>
  <c r="G187" i="6"/>
  <c r="G251" i="6"/>
  <c r="G289" i="6"/>
  <c r="G282" i="6"/>
  <c r="G173" i="6"/>
  <c r="G248" i="6"/>
  <c r="G219" i="6"/>
  <c r="G198" i="6"/>
  <c r="G331" i="6"/>
  <c r="G184" i="6"/>
  <c r="G259" i="6"/>
  <c r="G252" i="6"/>
  <c r="G326" i="6"/>
  <c r="G257" i="6"/>
  <c r="G84" i="6"/>
  <c r="G299" i="6"/>
  <c r="G100" i="6"/>
  <c r="G308" i="6"/>
  <c r="G318" i="6"/>
  <c r="G162" i="6"/>
  <c r="G178" i="6"/>
  <c r="G330" i="6"/>
  <c r="G300" i="6"/>
  <c r="G64" i="6"/>
  <c r="G234" i="6"/>
  <c r="G283" i="6"/>
  <c r="G232" i="6"/>
  <c r="G276" i="6"/>
  <c r="G70" i="6"/>
  <c r="G250" i="6"/>
  <c r="G221" i="6"/>
  <c r="G271" i="6"/>
  <c r="G280" i="6"/>
  <c r="G312" i="6"/>
  <c r="G134" i="6"/>
  <c r="G226" i="6"/>
  <c r="G131" i="6"/>
  <c r="G72" i="6"/>
  <c r="G83" i="6"/>
  <c r="G245" i="6"/>
  <c r="G246" i="6"/>
  <c r="G89" i="6"/>
  <c r="G175" i="6"/>
  <c r="G121" i="6"/>
  <c r="G192" i="6"/>
  <c r="G174" i="6"/>
  <c r="G319" i="6"/>
  <c r="G57" i="6"/>
  <c r="G71" i="6"/>
  <c r="G132" i="6"/>
  <c r="G324" i="6"/>
  <c r="G86" i="6"/>
  <c r="G194" i="6"/>
  <c r="G207" i="6"/>
  <c r="G240" i="6"/>
  <c r="G120" i="6"/>
  <c r="G332" i="6"/>
  <c r="G129" i="6"/>
  <c r="G163" i="6"/>
  <c r="G215" i="6"/>
  <c r="G193" i="6"/>
  <c r="G113" i="6"/>
  <c r="G138" i="6"/>
  <c r="G281" i="6"/>
  <c r="G306" i="6"/>
  <c r="G256" i="6"/>
  <c r="G142" i="6"/>
  <c r="G114" i="6"/>
  <c r="G233" i="6"/>
  <c r="G92" i="6"/>
  <c r="G249" i="6"/>
  <c r="G168" i="6"/>
  <c r="G206" i="6"/>
  <c r="G164" i="6"/>
  <c r="G150" i="6"/>
  <c r="G137" i="6"/>
  <c r="G204" i="6"/>
  <c r="G127" i="6"/>
  <c r="K172" i="6" l="1"/>
  <c r="L171" i="6"/>
  <c r="L172" i="6" s="1"/>
  <c r="K145" i="6"/>
  <c r="L147" i="6"/>
  <c r="L148" i="6" s="1"/>
  <c r="L149" i="6" s="1"/>
  <c r="J140" i="6"/>
  <c r="K140" i="6"/>
  <c r="J130" i="6"/>
  <c r="K130" i="6"/>
  <c r="J136" i="6"/>
  <c r="J139" i="6"/>
  <c r="J175" i="6"/>
  <c r="J284" i="6"/>
  <c r="J312" i="6"/>
  <c r="J186" i="6"/>
  <c r="J287" i="6"/>
  <c r="J232" i="6"/>
  <c r="J340" i="6"/>
  <c r="J235" i="6"/>
  <c r="J259" i="6"/>
  <c r="J205" i="6"/>
  <c r="J64" i="6"/>
  <c r="J200" i="6"/>
  <c r="J323" i="6"/>
  <c r="J313" i="6"/>
  <c r="J292" i="6"/>
  <c r="J178" i="6"/>
  <c r="J65" i="6"/>
  <c r="J176" i="6"/>
  <c r="J131" i="6"/>
  <c r="J89" i="6"/>
  <c r="J71" i="6"/>
  <c r="J217" i="6"/>
  <c r="J193" i="6"/>
  <c r="J155" i="6"/>
  <c r="J283" i="6"/>
  <c r="J160" i="6"/>
  <c r="J138" i="6"/>
  <c r="J275" i="6"/>
  <c r="J188" i="6"/>
  <c r="J210" i="6"/>
  <c r="J308" i="6"/>
  <c r="J113" i="6"/>
  <c r="J76" i="6"/>
  <c r="J286" i="6"/>
  <c r="J114" i="6"/>
  <c r="J152" i="6"/>
  <c r="J320" i="6"/>
  <c r="J129" i="6"/>
  <c r="J225" i="6"/>
  <c r="J253" i="6"/>
  <c r="J137" i="6"/>
  <c r="J248" i="6"/>
  <c r="J223" i="6"/>
  <c r="J157" i="6"/>
  <c r="J298" i="6"/>
  <c r="J325" i="6"/>
  <c r="J92" i="6"/>
  <c r="J244" i="6"/>
  <c r="J153" i="6"/>
  <c r="J68" i="6"/>
  <c r="J204" i="6"/>
  <c r="J268" i="6"/>
  <c r="J100" i="6"/>
  <c r="J322" i="6"/>
  <c r="J69" i="6"/>
  <c r="J252" i="6"/>
  <c r="J214" i="6"/>
  <c r="J319" i="6"/>
  <c r="J187" i="6"/>
  <c r="J156" i="6"/>
  <c r="J179" i="6"/>
  <c r="J163" i="6"/>
  <c r="J128" i="6"/>
  <c r="J331" i="6"/>
  <c r="J67" i="6"/>
  <c r="J237" i="6"/>
  <c r="J228" i="6"/>
  <c r="J336" i="6"/>
  <c r="J211" i="6"/>
  <c r="J150" i="6"/>
  <c r="J191" i="6"/>
  <c r="J271" i="6"/>
  <c r="J169" i="6"/>
  <c r="J201" i="6"/>
  <c r="J251" i="6"/>
  <c r="J332" i="6"/>
  <c r="J154" i="6"/>
  <c r="J164" i="6"/>
  <c r="J316" i="6"/>
  <c r="J208" i="6"/>
  <c r="J58" i="6"/>
  <c r="J276" i="6"/>
  <c r="J226" i="6"/>
  <c r="J273" i="6"/>
  <c r="J196" i="6"/>
  <c r="J168" i="6"/>
  <c r="J238" i="6"/>
  <c r="J260" i="6"/>
  <c r="J229" i="6"/>
  <c r="J212" i="6"/>
  <c r="J192" i="6"/>
  <c r="J289" i="6"/>
  <c r="J299" i="6"/>
  <c r="J297" i="6"/>
  <c r="J222" i="6"/>
  <c r="J72" i="6"/>
  <c r="J215" i="6"/>
  <c r="J148" i="6"/>
  <c r="J324" i="6"/>
  <c r="J247" i="6"/>
  <c r="J300" i="6"/>
  <c r="J224" i="6"/>
  <c r="J70" i="6"/>
  <c r="J220" i="6"/>
  <c r="J295" i="6"/>
  <c r="J189" i="6"/>
  <c r="J280" i="6"/>
  <c r="J288" i="6"/>
  <c r="J307" i="6"/>
  <c r="J165" i="6"/>
  <c r="J309" i="6"/>
  <c r="J177" i="6"/>
  <c r="J213" i="6"/>
  <c r="J97" i="6"/>
  <c r="J321" i="6"/>
  <c r="J249" i="6"/>
  <c r="J93" i="6"/>
  <c r="J272" i="6"/>
  <c r="J261" i="6"/>
  <c r="J277" i="6"/>
  <c r="J250" i="6"/>
  <c r="J328" i="6"/>
  <c r="J132" i="6"/>
  <c r="J236" i="6"/>
  <c r="J141" i="6"/>
  <c r="J57" i="6"/>
  <c r="J184" i="6"/>
  <c r="J274" i="6"/>
  <c r="J190" i="6"/>
  <c r="J333" i="6"/>
  <c r="J301" i="6"/>
  <c r="J227" i="6"/>
  <c r="J73" i="6"/>
  <c r="J296" i="6"/>
  <c r="J285" i="6"/>
  <c r="J304" i="6"/>
  <c r="J167" i="6"/>
  <c r="J172" i="6"/>
  <c r="J256" i="6"/>
  <c r="J145" i="6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5" i="1"/>
  <c r="D97" i="1"/>
  <c r="D98" i="1"/>
  <c r="D99" i="1"/>
  <c r="D100" i="1"/>
  <c r="D101" i="1"/>
  <c r="D102" i="1"/>
  <c r="D103" i="1"/>
  <c r="D104" i="1"/>
  <c r="D105" i="1"/>
  <c r="D106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6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47" i="1"/>
  <c r="D143" i="1"/>
  <c r="D144" i="1"/>
  <c r="D145" i="1"/>
  <c r="D107" i="1"/>
  <c r="F107" i="1"/>
  <c r="J107" i="1" s="1"/>
  <c r="H107" i="1"/>
  <c r="F145" i="1"/>
  <c r="J145" i="1" s="1"/>
  <c r="H145" i="1"/>
  <c r="F144" i="1"/>
  <c r="J144" i="1" s="1"/>
  <c r="H144" i="1"/>
  <c r="F143" i="1"/>
  <c r="J143" i="1" s="1"/>
  <c r="H143" i="1"/>
  <c r="F147" i="1"/>
  <c r="B117" i="6" s="1"/>
  <c r="F117" i="6" s="1"/>
  <c r="H147" i="1"/>
  <c r="F148" i="1"/>
  <c r="B118" i="6" s="1"/>
  <c r="F118" i="6" s="1"/>
  <c r="H148" i="1"/>
  <c r="F161" i="1"/>
  <c r="B126" i="6" s="1"/>
  <c r="F126" i="6" s="1"/>
  <c r="H161" i="1"/>
  <c r="F160" i="1"/>
  <c r="J160" i="1" s="1"/>
  <c r="H160" i="1"/>
  <c r="F159" i="1"/>
  <c r="J159" i="1" s="1"/>
  <c r="H159" i="1"/>
  <c r="F158" i="1"/>
  <c r="H158" i="1"/>
  <c r="F157" i="1"/>
  <c r="J157" i="1" s="1"/>
  <c r="H157" i="1"/>
  <c r="F156" i="1"/>
  <c r="H156" i="1"/>
  <c r="F155" i="1"/>
  <c r="J155" i="1" s="1"/>
  <c r="H155" i="1"/>
  <c r="F154" i="1"/>
  <c r="H154" i="1"/>
  <c r="F153" i="1"/>
  <c r="J153" i="1" s="1"/>
  <c r="H153" i="1"/>
  <c r="F152" i="1"/>
  <c r="H152" i="1"/>
  <c r="F151" i="1"/>
  <c r="J151" i="1" s="1"/>
  <c r="H151" i="1"/>
  <c r="H150" i="1"/>
  <c r="F149" i="1"/>
  <c r="H149" i="1"/>
  <c r="H146" i="1"/>
  <c r="F142" i="1"/>
  <c r="H142" i="1"/>
  <c r="F141" i="1"/>
  <c r="J141" i="1" s="1"/>
  <c r="H141" i="1"/>
  <c r="F140" i="1"/>
  <c r="J140" i="1" s="1"/>
  <c r="H140" i="1"/>
  <c r="F139" i="1"/>
  <c r="J139" i="1" s="1"/>
  <c r="H139" i="1"/>
  <c r="F138" i="1"/>
  <c r="H138" i="1"/>
  <c r="F137" i="1"/>
  <c r="J137" i="1" s="1"/>
  <c r="H137" i="1"/>
  <c r="F136" i="1"/>
  <c r="J136" i="1" s="1"/>
  <c r="H136" i="1"/>
  <c r="H135" i="1"/>
  <c r="F135" i="1"/>
  <c r="H134" i="1"/>
  <c r="F134" i="1"/>
  <c r="J134" i="1" s="1"/>
  <c r="H133" i="1"/>
  <c r="F133" i="1"/>
  <c r="J133" i="1" s="1"/>
  <c r="H132" i="1"/>
  <c r="F132" i="1"/>
  <c r="H131" i="1"/>
  <c r="F131" i="1"/>
  <c r="J131" i="1" s="1"/>
  <c r="H130" i="1"/>
  <c r="F130" i="1"/>
  <c r="J130" i="1" s="1"/>
  <c r="H129" i="1"/>
  <c r="F129" i="1"/>
  <c r="J129" i="1" s="1"/>
  <c r="H128" i="1"/>
  <c r="F128" i="1"/>
  <c r="H127" i="1"/>
  <c r="F127" i="1"/>
  <c r="J127" i="1" s="1"/>
  <c r="H126" i="1"/>
  <c r="F126" i="1"/>
  <c r="J126" i="1" s="1"/>
  <c r="H125" i="1"/>
  <c r="F125" i="1"/>
  <c r="J125" i="1" s="1"/>
  <c r="F124" i="1"/>
  <c r="H124" i="1"/>
  <c r="F123" i="1"/>
  <c r="J123" i="1" s="1"/>
  <c r="H123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5" i="1"/>
  <c r="H97" i="1"/>
  <c r="H98" i="1"/>
  <c r="H99" i="1"/>
  <c r="H100" i="1"/>
  <c r="H101" i="1"/>
  <c r="H102" i="1"/>
  <c r="H103" i="1"/>
  <c r="H104" i="1"/>
  <c r="H105" i="1"/>
  <c r="H106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F122" i="1"/>
  <c r="F121" i="1"/>
  <c r="B105" i="6" s="1"/>
  <c r="F105" i="6" s="1"/>
  <c r="F120" i="1"/>
  <c r="J120" i="1" s="1"/>
  <c r="F119" i="1"/>
  <c r="F118" i="1"/>
  <c r="J118" i="1" s="1"/>
  <c r="F117" i="1"/>
  <c r="J117" i="1" s="1"/>
  <c r="F116" i="1"/>
  <c r="J116" i="1" s="1"/>
  <c r="F115" i="1"/>
  <c r="F114" i="1"/>
  <c r="J114" i="1" s="1"/>
  <c r="F113" i="1"/>
  <c r="J113" i="1" s="1"/>
  <c r="F112" i="1"/>
  <c r="F111" i="1"/>
  <c r="J111" i="1" s="1"/>
  <c r="F110" i="1"/>
  <c r="J110" i="1" s="1"/>
  <c r="F109" i="1"/>
  <c r="J109" i="1" s="1"/>
  <c r="F108" i="1"/>
  <c r="F106" i="1"/>
  <c r="J106" i="1" s="1"/>
  <c r="F105" i="1"/>
  <c r="F104" i="1"/>
  <c r="J104" i="1" s="1"/>
  <c r="F103" i="1"/>
  <c r="F102" i="1"/>
  <c r="J102" i="1" s="1"/>
  <c r="F101" i="1"/>
  <c r="F100" i="1"/>
  <c r="J100" i="1" s="1"/>
  <c r="F99" i="1"/>
  <c r="F98" i="1"/>
  <c r="J98" i="1" s="1"/>
  <c r="F97" i="1"/>
  <c r="F95" i="1"/>
  <c r="F92" i="1"/>
  <c r="F91" i="1"/>
  <c r="B82" i="6" s="1"/>
  <c r="F82" i="6" s="1"/>
  <c r="F90" i="1"/>
  <c r="B81" i="6" s="1"/>
  <c r="F81" i="6" s="1"/>
  <c r="F89" i="1"/>
  <c r="B80" i="6" s="1"/>
  <c r="F80" i="6" s="1"/>
  <c r="F88" i="1"/>
  <c r="B77" i="6" s="1"/>
  <c r="F77" i="6" s="1"/>
  <c r="F87" i="1"/>
  <c r="B63" i="6" s="1"/>
  <c r="F63" i="6" s="1"/>
  <c r="F86" i="1"/>
  <c r="J86" i="1" s="1"/>
  <c r="F85" i="1"/>
  <c r="F84" i="1"/>
  <c r="J84" i="1" s="1"/>
  <c r="F83" i="1"/>
  <c r="J83" i="1" s="1"/>
  <c r="F82" i="1"/>
  <c r="F81" i="1"/>
  <c r="J81" i="1" s="1"/>
  <c r="F80" i="1"/>
  <c r="J80" i="1" s="1"/>
  <c r="F79" i="1"/>
  <c r="J79" i="1" s="1"/>
  <c r="F78" i="1"/>
  <c r="J78" i="1" s="1"/>
  <c r="F77" i="1"/>
  <c r="F76" i="1"/>
  <c r="J76" i="1" s="1"/>
  <c r="F75" i="1"/>
  <c r="J75" i="1" s="1"/>
  <c r="F53" i="1"/>
  <c r="F54" i="1"/>
  <c r="J54" i="1" s="1"/>
  <c r="F55" i="1"/>
  <c r="J55" i="1" s="1"/>
  <c r="F56" i="1"/>
  <c r="J56" i="1" s="1"/>
  <c r="F57" i="1"/>
  <c r="F58" i="1"/>
  <c r="J58" i="1" s="1"/>
  <c r="F59" i="1"/>
  <c r="J59" i="1" s="1"/>
  <c r="F60" i="1"/>
  <c r="J60" i="1" s="1"/>
  <c r="F61" i="1"/>
  <c r="J61" i="1" s="1"/>
  <c r="F62" i="1"/>
  <c r="J62" i="1" s="1"/>
  <c r="F63" i="1"/>
  <c r="F64" i="1"/>
  <c r="J64" i="1" s="1"/>
  <c r="F65" i="1"/>
  <c r="J65" i="1" s="1"/>
  <c r="F66" i="1"/>
  <c r="J66" i="1" s="1"/>
  <c r="F67" i="1"/>
  <c r="F68" i="1"/>
  <c r="J68" i="1" s="1"/>
  <c r="F69" i="1"/>
  <c r="J69" i="1" s="1"/>
  <c r="F70" i="1"/>
  <c r="F71" i="1"/>
  <c r="J71" i="1" s="1"/>
  <c r="F72" i="1"/>
  <c r="J72" i="1" s="1"/>
  <c r="F73" i="1"/>
  <c r="J73" i="1" s="1"/>
  <c r="F74" i="1"/>
  <c r="K73" i="1" l="1"/>
  <c r="N73" i="1"/>
  <c r="K72" i="1"/>
  <c r="N72" i="1"/>
  <c r="K71" i="1"/>
  <c r="N71" i="1"/>
  <c r="K69" i="1"/>
  <c r="N69" i="1"/>
  <c r="K68" i="1"/>
  <c r="N68" i="1"/>
  <c r="K66" i="1"/>
  <c r="N66" i="1"/>
  <c r="K65" i="1"/>
  <c r="N65" i="1"/>
  <c r="K64" i="1"/>
  <c r="N64" i="1"/>
  <c r="K62" i="1"/>
  <c r="N62" i="1"/>
  <c r="K61" i="1"/>
  <c r="N61" i="1"/>
  <c r="K60" i="1"/>
  <c r="N60" i="1"/>
  <c r="K59" i="1"/>
  <c r="N59" i="1"/>
  <c r="K58" i="1"/>
  <c r="N58" i="1"/>
  <c r="K56" i="1"/>
  <c r="N56" i="1"/>
  <c r="K55" i="1"/>
  <c r="N55" i="1"/>
  <c r="K54" i="1"/>
  <c r="N54" i="1"/>
  <c r="K75" i="1"/>
  <c r="N75" i="1"/>
  <c r="K76" i="1"/>
  <c r="N76" i="1"/>
  <c r="K78" i="1"/>
  <c r="N78" i="1"/>
  <c r="K79" i="1"/>
  <c r="N79" i="1"/>
  <c r="K80" i="1"/>
  <c r="N80" i="1"/>
  <c r="K81" i="1"/>
  <c r="N81" i="1"/>
  <c r="K83" i="1"/>
  <c r="N83" i="1"/>
  <c r="K84" i="1"/>
  <c r="N84" i="1"/>
  <c r="K86" i="1"/>
  <c r="N86" i="1"/>
  <c r="K98" i="1"/>
  <c r="N98" i="1"/>
  <c r="K100" i="1"/>
  <c r="N100" i="1"/>
  <c r="K102" i="1"/>
  <c r="N102" i="1"/>
  <c r="K104" i="1"/>
  <c r="N104" i="1"/>
  <c r="K106" i="1"/>
  <c r="N106" i="1"/>
  <c r="K109" i="1"/>
  <c r="N109" i="1"/>
  <c r="K110" i="1"/>
  <c r="N110" i="1"/>
  <c r="K111" i="1"/>
  <c r="N111" i="1"/>
  <c r="K113" i="1"/>
  <c r="N113" i="1"/>
  <c r="K114" i="1"/>
  <c r="N114" i="1"/>
  <c r="K116" i="1"/>
  <c r="N116" i="1"/>
  <c r="K117" i="1"/>
  <c r="N117" i="1"/>
  <c r="K118" i="1"/>
  <c r="N118" i="1"/>
  <c r="K120" i="1"/>
  <c r="N120" i="1"/>
  <c r="K123" i="1"/>
  <c r="N123" i="1"/>
  <c r="K125" i="1"/>
  <c r="N125" i="1"/>
  <c r="K126" i="1"/>
  <c r="N126" i="1"/>
  <c r="K127" i="1"/>
  <c r="N127" i="1"/>
  <c r="K129" i="1"/>
  <c r="N129" i="1"/>
  <c r="K130" i="1"/>
  <c r="N130" i="1"/>
  <c r="K131" i="1"/>
  <c r="N131" i="1"/>
  <c r="K133" i="1"/>
  <c r="N133" i="1"/>
  <c r="K134" i="1"/>
  <c r="N134" i="1"/>
  <c r="K136" i="1"/>
  <c r="N136" i="1"/>
  <c r="K137" i="1"/>
  <c r="N137" i="1"/>
  <c r="K139" i="1"/>
  <c r="N139" i="1"/>
  <c r="K140" i="1"/>
  <c r="N140" i="1"/>
  <c r="K141" i="1"/>
  <c r="N141" i="1"/>
  <c r="K151" i="1"/>
  <c r="N151" i="1"/>
  <c r="K153" i="1"/>
  <c r="N153" i="1"/>
  <c r="K155" i="1"/>
  <c r="N155" i="1"/>
  <c r="K157" i="1"/>
  <c r="N157" i="1"/>
  <c r="K159" i="1"/>
  <c r="N159" i="1"/>
  <c r="K160" i="1"/>
  <c r="N160" i="1"/>
  <c r="K143" i="1"/>
  <c r="N143" i="1"/>
  <c r="K144" i="1"/>
  <c r="N144" i="1"/>
  <c r="K145" i="1"/>
  <c r="N145" i="1"/>
  <c r="K107" i="1"/>
  <c r="N107" i="1"/>
  <c r="J95" i="1"/>
  <c r="B90" i="6"/>
  <c r="F90" i="6" s="1"/>
  <c r="B94" i="6"/>
  <c r="F94" i="6" s="1"/>
  <c r="B102" i="6"/>
  <c r="B122" i="6"/>
  <c r="B125" i="6"/>
  <c r="F125" i="6" s="1"/>
  <c r="B119" i="6"/>
  <c r="F119" i="6" s="1"/>
  <c r="B101" i="6"/>
  <c r="B109" i="6"/>
  <c r="F109" i="6" s="1"/>
  <c r="B116" i="6"/>
  <c r="F116" i="6" s="1"/>
  <c r="B124" i="6"/>
  <c r="B61" i="6"/>
  <c r="F61" i="6" s="1"/>
  <c r="B62" i="6"/>
  <c r="F62" i="6" s="1"/>
  <c r="B95" i="6"/>
  <c r="B91" i="6"/>
  <c r="F91" i="6" s="1"/>
  <c r="B55" i="6"/>
  <c r="B98" i="6"/>
  <c r="B88" i="6"/>
  <c r="B104" i="6"/>
  <c r="B111" i="6"/>
  <c r="F111" i="6" s="1"/>
  <c r="D82" i="6"/>
  <c r="D118" i="6"/>
  <c r="B54" i="6"/>
  <c r="B108" i="6"/>
  <c r="F108" i="6" s="1"/>
  <c r="B115" i="6"/>
  <c r="F115" i="6" s="1"/>
  <c r="D63" i="6"/>
  <c r="B56" i="6"/>
  <c r="F56" i="6" s="1"/>
  <c r="B103" i="6"/>
  <c r="F103" i="6" s="1"/>
  <c r="B53" i="6"/>
  <c r="F53" i="6" s="1"/>
  <c r="B60" i="6"/>
  <c r="F60" i="6" s="1"/>
  <c r="D80" i="6"/>
  <c r="B96" i="6"/>
  <c r="F96" i="6" s="1"/>
  <c r="B123" i="6"/>
  <c r="F123" i="6" s="1"/>
  <c r="D126" i="6"/>
  <c r="D117" i="6"/>
  <c r="B52" i="6"/>
  <c r="F52" i="6" s="1"/>
  <c r="D105" i="6"/>
  <c r="B59" i="6"/>
  <c r="F59" i="6" s="1"/>
  <c r="D77" i="6"/>
  <c r="B110" i="6"/>
  <c r="F110" i="6" s="1"/>
  <c r="D81" i="6"/>
  <c r="B112" i="6"/>
  <c r="F112" i="6" s="1"/>
  <c r="J101" i="1"/>
  <c r="J57" i="1"/>
  <c r="J88" i="1"/>
  <c r="J115" i="1"/>
  <c r="J128" i="1"/>
  <c r="J135" i="1"/>
  <c r="J119" i="1"/>
  <c r="J124" i="1"/>
  <c r="J142" i="1"/>
  <c r="J156" i="1"/>
  <c r="J148" i="1"/>
  <c r="J82" i="1"/>
  <c r="J121" i="1"/>
  <c r="J74" i="1"/>
  <c r="J97" i="1"/>
  <c r="J122" i="1"/>
  <c r="J89" i="1"/>
  <c r="J103" i="1"/>
  <c r="J154" i="1"/>
  <c r="J91" i="1"/>
  <c r="J161" i="1"/>
  <c r="J149" i="1"/>
  <c r="J147" i="1"/>
  <c r="J132" i="1"/>
  <c r="J70" i="1"/>
  <c r="J87" i="1"/>
  <c r="J77" i="1"/>
  <c r="J67" i="1"/>
  <c r="J90" i="1"/>
  <c r="J105" i="1"/>
  <c r="J53" i="1"/>
  <c r="J92" i="1"/>
  <c r="J108" i="1"/>
  <c r="J63" i="1"/>
  <c r="J85" i="1"/>
  <c r="J99" i="1"/>
  <c r="J112" i="1"/>
  <c r="J138" i="1"/>
  <c r="J152" i="1"/>
  <c r="J158" i="1"/>
  <c r="K158" i="1" l="1"/>
  <c r="N158" i="1"/>
  <c r="K152" i="1"/>
  <c r="N152" i="1"/>
  <c r="K138" i="1"/>
  <c r="N138" i="1"/>
  <c r="K112" i="1"/>
  <c r="N112" i="1"/>
  <c r="K99" i="1"/>
  <c r="N99" i="1"/>
  <c r="K85" i="1"/>
  <c r="N85" i="1"/>
  <c r="K63" i="1"/>
  <c r="N63" i="1"/>
  <c r="K108" i="1"/>
  <c r="N108" i="1"/>
  <c r="K92" i="1"/>
  <c r="N92" i="1"/>
  <c r="K53" i="1"/>
  <c r="N53" i="1"/>
  <c r="K105" i="1"/>
  <c r="N105" i="1"/>
  <c r="K90" i="1"/>
  <c r="N90" i="1"/>
  <c r="K67" i="1"/>
  <c r="N67" i="1"/>
  <c r="K77" i="1"/>
  <c r="N77" i="1"/>
  <c r="K87" i="1"/>
  <c r="N87" i="1"/>
  <c r="K70" i="1"/>
  <c r="N70" i="1"/>
  <c r="K132" i="1"/>
  <c r="N132" i="1"/>
  <c r="K147" i="1"/>
  <c r="N147" i="1"/>
  <c r="K149" i="1"/>
  <c r="N149" i="1"/>
  <c r="K161" i="1"/>
  <c r="N161" i="1"/>
  <c r="K91" i="1"/>
  <c r="N91" i="1"/>
  <c r="K154" i="1"/>
  <c r="N154" i="1"/>
  <c r="K103" i="1"/>
  <c r="N103" i="1"/>
  <c r="K89" i="1"/>
  <c r="N89" i="1"/>
  <c r="K122" i="1"/>
  <c r="N122" i="1"/>
  <c r="K97" i="1"/>
  <c r="N97" i="1"/>
  <c r="K74" i="1"/>
  <c r="N74" i="1"/>
  <c r="K121" i="1"/>
  <c r="N121" i="1"/>
  <c r="K82" i="1"/>
  <c r="N82" i="1"/>
  <c r="K148" i="1"/>
  <c r="N148" i="1"/>
  <c r="K156" i="1"/>
  <c r="N156" i="1"/>
  <c r="K142" i="1"/>
  <c r="N142" i="1"/>
  <c r="K124" i="1"/>
  <c r="N124" i="1"/>
  <c r="K119" i="1"/>
  <c r="N119" i="1"/>
  <c r="K135" i="1"/>
  <c r="N135" i="1"/>
  <c r="K128" i="1"/>
  <c r="N128" i="1"/>
  <c r="K115" i="1"/>
  <c r="N115" i="1"/>
  <c r="K88" i="1"/>
  <c r="N88" i="1"/>
  <c r="K57" i="1"/>
  <c r="N57" i="1"/>
  <c r="K101" i="1"/>
  <c r="N101" i="1"/>
  <c r="K95" i="1"/>
  <c r="N95" i="1"/>
  <c r="D124" i="6"/>
  <c r="E124" i="6" s="1"/>
  <c r="F124" i="6"/>
  <c r="D54" i="6"/>
  <c r="E54" i="6" s="1"/>
  <c r="F54" i="6"/>
  <c r="D101" i="6"/>
  <c r="E101" i="6" s="1"/>
  <c r="F101" i="6"/>
  <c r="D104" i="6"/>
  <c r="E104" i="6" s="1"/>
  <c r="F104" i="6"/>
  <c r="D88" i="6"/>
  <c r="E88" i="6" s="1"/>
  <c r="F88" i="6"/>
  <c r="D122" i="6"/>
  <c r="E122" i="6" s="1"/>
  <c r="F122" i="6"/>
  <c r="D55" i="6"/>
  <c r="E55" i="6" s="1"/>
  <c r="F55" i="6"/>
  <c r="D102" i="6"/>
  <c r="E102" i="6" s="1"/>
  <c r="F102" i="6"/>
  <c r="D95" i="6"/>
  <c r="E95" i="6" s="1"/>
  <c r="F95" i="6"/>
  <c r="D90" i="6"/>
  <c r="E90" i="6" s="1"/>
  <c r="D94" i="6"/>
  <c r="E94" i="6" s="1"/>
  <c r="I94" i="6" s="1"/>
  <c r="K94" i="6" s="1"/>
  <c r="D125" i="6"/>
  <c r="E125" i="6" s="1"/>
  <c r="I125" i="6" s="1"/>
  <c r="K125" i="6" s="1"/>
  <c r="D91" i="6"/>
  <c r="E91" i="6" s="1"/>
  <c r="I91" i="6" s="1"/>
  <c r="K91" i="6" s="1"/>
  <c r="D109" i="6"/>
  <c r="E109" i="6" s="1"/>
  <c r="I109" i="6" s="1"/>
  <c r="K109" i="6" s="1"/>
  <c r="D61" i="6"/>
  <c r="E61" i="6" s="1"/>
  <c r="I61" i="6" s="1"/>
  <c r="K61" i="6" s="1"/>
  <c r="D62" i="6"/>
  <c r="E62" i="6" s="1"/>
  <c r="I62" i="6" s="1"/>
  <c r="K62" i="6" s="1"/>
  <c r="D116" i="6"/>
  <c r="E116" i="6" s="1"/>
  <c r="I116" i="6" s="1"/>
  <c r="K116" i="6" s="1"/>
  <c r="D119" i="6"/>
  <c r="E119" i="6" s="1"/>
  <c r="I119" i="6" s="1"/>
  <c r="K119" i="6" s="1"/>
  <c r="D98" i="6"/>
  <c r="D111" i="6"/>
  <c r="E111" i="6" s="1"/>
  <c r="I111" i="6" s="1"/>
  <c r="K111" i="6" s="1"/>
  <c r="D115" i="6"/>
  <c r="E115" i="6" s="1"/>
  <c r="D52" i="6"/>
  <c r="E52" i="6" s="1"/>
  <c r="D59" i="6"/>
  <c r="E59" i="6" s="1"/>
  <c r="D108" i="6"/>
  <c r="E108" i="6" s="1"/>
  <c r="D110" i="6"/>
  <c r="E110" i="6" s="1"/>
  <c r="D56" i="6"/>
  <c r="E56" i="6" s="1"/>
  <c r="D123" i="6"/>
  <c r="E123" i="6" s="1"/>
  <c r="D96" i="6"/>
  <c r="E96" i="6" s="1"/>
  <c r="D112" i="6"/>
  <c r="E112" i="6" s="1"/>
  <c r="D60" i="6"/>
  <c r="E60" i="6" s="1"/>
  <c r="D53" i="6"/>
  <c r="E53" i="6" s="1"/>
  <c r="D103" i="6"/>
  <c r="E103" i="6" s="1"/>
  <c r="E81" i="6"/>
  <c r="I81" i="6" s="1"/>
  <c r="K81" i="6" s="1"/>
  <c r="E117" i="6"/>
  <c r="I117" i="6" s="1"/>
  <c r="K117" i="6" s="1"/>
  <c r="E77" i="6"/>
  <c r="I77" i="6" s="1"/>
  <c r="K77" i="6" s="1"/>
  <c r="E63" i="6"/>
  <c r="I63" i="6" s="1"/>
  <c r="K63" i="6" s="1"/>
  <c r="E82" i="6"/>
  <c r="I82" i="6" s="1"/>
  <c r="K82" i="6" s="1"/>
  <c r="E80" i="6"/>
  <c r="I80" i="6" s="1"/>
  <c r="K80" i="6" s="1"/>
  <c r="E118" i="6"/>
  <c r="I118" i="6" s="1"/>
  <c r="K118" i="6" s="1"/>
  <c r="E126" i="6"/>
  <c r="I126" i="6" s="1"/>
  <c r="K126" i="6" s="1"/>
  <c r="E105" i="6"/>
  <c r="I105" i="6" s="1"/>
  <c r="K105" i="6" s="1"/>
  <c r="J81" i="6" l="1"/>
  <c r="J77" i="6"/>
  <c r="J119" i="6"/>
  <c r="J126" i="6"/>
  <c r="J62" i="6"/>
  <c r="J118" i="6"/>
  <c r="J61" i="6"/>
  <c r="J80" i="6"/>
  <c r="J109" i="6"/>
  <c r="J82" i="6"/>
  <c r="J91" i="6"/>
  <c r="J63" i="6"/>
  <c r="J125" i="6"/>
  <c r="J94" i="6"/>
  <c r="J117" i="6"/>
  <c r="J111" i="6"/>
  <c r="J105" i="6"/>
  <c r="J116" i="6"/>
  <c r="G90" i="6"/>
  <c r="I90" i="6"/>
  <c r="K90" i="6" s="1"/>
  <c r="I59" i="6"/>
  <c r="K59" i="6" s="1"/>
  <c r="I60" i="6"/>
  <c r="K60" i="6" s="1"/>
  <c r="I112" i="6"/>
  <c r="K112" i="6" s="1"/>
  <c r="I110" i="6"/>
  <c r="K110" i="6" s="1"/>
  <c r="I124" i="6"/>
  <c r="K124" i="6" s="1"/>
  <c r="I103" i="6"/>
  <c r="K103" i="6" s="1"/>
  <c r="I56" i="6"/>
  <c r="K56" i="6" s="1"/>
  <c r="I54" i="6"/>
  <c r="K54" i="6" s="1"/>
  <c r="I101" i="6"/>
  <c r="K101" i="6" s="1"/>
  <c r="I102" i="6"/>
  <c r="K102" i="6" s="1"/>
  <c r="I108" i="6"/>
  <c r="K108" i="6" s="1"/>
  <c r="I55" i="6"/>
  <c r="K55" i="6" s="1"/>
  <c r="I122" i="6"/>
  <c r="K122" i="6" s="1"/>
  <c r="I96" i="6"/>
  <c r="K96" i="6" s="1"/>
  <c r="I52" i="6"/>
  <c r="K52" i="6" s="1"/>
  <c r="I88" i="6"/>
  <c r="K88" i="6" s="1"/>
  <c r="I115" i="6"/>
  <c r="K115" i="6" s="1"/>
  <c r="I123" i="6"/>
  <c r="K123" i="6" s="1"/>
  <c r="I95" i="6"/>
  <c r="K95" i="6" s="1"/>
  <c r="I104" i="6"/>
  <c r="K104" i="6" s="1"/>
  <c r="I53" i="6"/>
  <c r="K53" i="6" s="1"/>
  <c r="E98" i="6"/>
  <c r="I98" i="6" s="1"/>
  <c r="K98" i="6" s="1"/>
  <c r="G88" i="6"/>
  <c r="G119" i="6"/>
  <c r="G105" i="6"/>
  <c r="G101" i="6"/>
  <c r="G77" i="6"/>
  <c r="G103" i="6"/>
  <c r="G61" i="6"/>
  <c r="G95" i="6"/>
  <c r="G109" i="6"/>
  <c r="G55" i="6"/>
  <c r="G98" i="6"/>
  <c r="G59" i="6"/>
  <c r="G91" i="6"/>
  <c r="G125" i="6"/>
  <c r="G126" i="6"/>
  <c r="G60" i="6"/>
  <c r="G112" i="6"/>
  <c r="G52" i="6"/>
  <c r="G94" i="6"/>
  <c r="G54" i="6"/>
  <c r="G123" i="6"/>
  <c r="G82" i="6"/>
  <c r="G110" i="6"/>
  <c r="G81" i="6"/>
  <c r="G96" i="6"/>
  <c r="G115" i="6"/>
  <c r="G116" i="6"/>
  <c r="G104" i="6"/>
  <c r="G124" i="6"/>
  <c r="G108" i="6"/>
  <c r="G102" i="6"/>
  <c r="G118" i="6"/>
  <c r="G62" i="6"/>
  <c r="G53" i="6"/>
  <c r="G56" i="6"/>
  <c r="G80" i="6"/>
  <c r="G63" i="6"/>
  <c r="G122" i="6"/>
  <c r="G117" i="6"/>
  <c r="G111" i="6"/>
  <c r="J56" i="6" l="1"/>
  <c r="J115" i="6"/>
  <c r="J124" i="6"/>
  <c r="J88" i="6"/>
  <c r="J110" i="6"/>
  <c r="J122" i="6"/>
  <c r="J59" i="6"/>
  <c r="J98" i="6"/>
  <c r="J123" i="6"/>
  <c r="J103" i="6"/>
  <c r="J52" i="6"/>
  <c r="J112" i="6"/>
  <c r="J96" i="6"/>
  <c r="J60" i="6"/>
  <c r="J55" i="6"/>
  <c r="J90" i="6"/>
  <c r="J102" i="6"/>
  <c r="J53" i="6"/>
  <c r="J101" i="6"/>
  <c r="J104" i="6"/>
  <c r="J54" i="6"/>
  <c r="J95" i="6"/>
  <c r="J108" i="6"/>
</calcChain>
</file>

<file path=xl/sharedStrings.xml><?xml version="1.0" encoding="utf-8"?>
<sst xmlns="http://schemas.openxmlformats.org/spreadsheetml/2006/main" count="615" uniqueCount="285">
  <si>
    <t>Semana</t>
  </si>
  <si>
    <t>Meses (Día)</t>
  </si>
  <si>
    <t>Días (Día)</t>
  </si>
  <si>
    <t>Día</t>
  </si>
  <si>
    <t>Cuenta de Tiempo producción</t>
  </si>
  <si>
    <t>Suma de Tiempo producción</t>
  </si>
  <si>
    <t>mar</t>
  </si>
  <si>
    <t>17-mar</t>
  </si>
  <si>
    <t>18-mar</t>
  </si>
  <si>
    <t>19-mar</t>
  </si>
  <si>
    <t>20-mar</t>
  </si>
  <si>
    <t>21-mar</t>
  </si>
  <si>
    <t>24-mar</t>
  </si>
  <si>
    <t>25-mar</t>
  </si>
  <si>
    <t>26-mar</t>
  </si>
  <si>
    <t>27-mar</t>
  </si>
  <si>
    <t>28-mar</t>
  </si>
  <si>
    <t>abr</t>
  </si>
  <si>
    <t>11-abr</t>
  </si>
  <si>
    <t>14-abr</t>
  </si>
  <si>
    <t>15-abr</t>
  </si>
  <si>
    <t>16-abr</t>
  </si>
  <si>
    <t>22-abr</t>
  </si>
  <si>
    <t>23-abr</t>
  </si>
  <si>
    <t>24-abr</t>
  </si>
  <si>
    <t>25-abr</t>
  </si>
  <si>
    <t>28-abr</t>
  </si>
  <si>
    <t>29-abr</t>
  </si>
  <si>
    <t>30-abr</t>
  </si>
  <si>
    <t>may</t>
  </si>
  <si>
    <t>02-may</t>
  </si>
  <si>
    <t>05-may</t>
  </si>
  <si>
    <t>06-may</t>
  </si>
  <si>
    <t>07-may</t>
  </si>
  <si>
    <t>08-may</t>
  </si>
  <si>
    <t>09-may</t>
  </si>
  <si>
    <t>12-may</t>
  </si>
  <si>
    <t>13-may</t>
  </si>
  <si>
    <t>14-may</t>
  </si>
  <si>
    <t>15-may</t>
  </si>
  <si>
    <t>16-may</t>
  </si>
  <si>
    <t>19-may</t>
  </si>
  <si>
    <t>20-may</t>
  </si>
  <si>
    <t>21-may</t>
  </si>
  <si>
    <t>22-may</t>
  </si>
  <si>
    <t>23-may</t>
  </si>
  <si>
    <t>26-may</t>
  </si>
  <si>
    <t>27-may</t>
  </si>
  <si>
    <t>28-may</t>
  </si>
  <si>
    <t>29-may</t>
  </si>
  <si>
    <t>30-may</t>
  </si>
  <si>
    <t>jun</t>
  </si>
  <si>
    <t>04-jun</t>
  </si>
  <si>
    <t>05-jun</t>
  </si>
  <si>
    <t>06-jun</t>
  </si>
  <si>
    <t>feb</t>
  </si>
  <si>
    <t>04-feb</t>
  </si>
  <si>
    <t>05-feb</t>
  </si>
  <si>
    <t>06-feb</t>
  </si>
  <si>
    <t>07-feb</t>
  </si>
  <si>
    <t>10-feb</t>
  </si>
  <si>
    <t>11-feb</t>
  </si>
  <si>
    <t>12-feb</t>
  </si>
  <si>
    <t>13-feb</t>
  </si>
  <si>
    <t>14-feb</t>
  </si>
  <si>
    <t>17-feb</t>
  </si>
  <si>
    <t>18-feb</t>
  </si>
  <si>
    <t>19-feb</t>
  </si>
  <si>
    <t>20-feb</t>
  </si>
  <si>
    <t>28-feb</t>
  </si>
  <si>
    <t>03-mar</t>
  </si>
  <si>
    <t>04-mar</t>
  </si>
  <si>
    <t>05-mar</t>
  </si>
  <si>
    <t>06-mar</t>
  </si>
  <si>
    <t>07-mar</t>
  </si>
  <si>
    <t>10-mar</t>
  </si>
  <si>
    <t>11-mar</t>
  </si>
  <si>
    <t>12-mar</t>
  </si>
  <si>
    <t>13-mar</t>
  </si>
  <si>
    <t>09-jun</t>
  </si>
  <si>
    <t>10-jun</t>
  </si>
  <si>
    <t>11-jun</t>
  </si>
  <si>
    <t>12-jun</t>
  </si>
  <si>
    <t>17-jun</t>
  </si>
  <si>
    <t>18-jun</t>
  </si>
  <si>
    <t>20-jun</t>
  </si>
  <si>
    <t>25-jun</t>
  </si>
  <si>
    <t>26-jun</t>
  </si>
  <si>
    <t>27-jun</t>
  </si>
  <si>
    <t>30-jun</t>
  </si>
  <si>
    <t>jul</t>
  </si>
  <si>
    <t>01-jul</t>
  </si>
  <si>
    <t>02-jul</t>
  </si>
  <si>
    <t>03-jul</t>
  </si>
  <si>
    <t>04-jul</t>
  </si>
  <si>
    <t>07-jul</t>
  </si>
  <si>
    <t>08-jul</t>
  </si>
  <si>
    <t>09-jul</t>
  </si>
  <si>
    <t>10-jul</t>
  </si>
  <si>
    <t>11-jul</t>
  </si>
  <si>
    <t>14-jul</t>
  </si>
  <si>
    <t>15-jul</t>
  </si>
  <si>
    <t>16-jul</t>
  </si>
  <si>
    <t>17-jul</t>
  </si>
  <si>
    <t>18-jul</t>
  </si>
  <si>
    <t>21-jul</t>
  </si>
  <si>
    <t>22-jul</t>
  </si>
  <si>
    <t>23-jul</t>
  </si>
  <si>
    <t>25-jul</t>
  </si>
  <si>
    <t>Total general</t>
  </si>
  <si>
    <t>Etiquetas de fila</t>
  </si>
  <si>
    <t>Cantidad producida</t>
  </si>
  <si>
    <t>Cantidad teórica</t>
  </si>
  <si>
    <t>Rendimiento</t>
  </si>
  <si>
    <t>Disponibilidad</t>
  </si>
  <si>
    <t>Fallos disponibilidad</t>
  </si>
  <si>
    <t/>
  </si>
  <si>
    <t>OEE</t>
  </si>
  <si>
    <t>(Todas)</t>
  </si>
  <si>
    <t>Promedio de OEE</t>
  </si>
  <si>
    <t>Tiempo de no producción</t>
  </si>
  <si>
    <t>% del total</t>
  </si>
  <si>
    <t>LC</t>
  </si>
  <si>
    <t>CF</t>
  </si>
  <si>
    <t>CL</t>
  </si>
  <si>
    <t>Hora inicio</t>
  </si>
  <si>
    <t xml:space="preserve">Hora fin </t>
  </si>
  <si>
    <t>Turno</t>
  </si>
  <si>
    <t>P/LC/CF/CL</t>
  </si>
  <si>
    <t>Tiempo producción</t>
  </si>
  <si>
    <t>Tiempo no producción</t>
  </si>
  <si>
    <t>Observaciones</t>
  </si>
  <si>
    <t>tiempo no prod</t>
  </si>
  <si>
    <t>Comprobar</t>
  </si>
  <si>
    <t>P</t>
  </si>
  <si>
    <t>, se va la luz a las 12.30</t>
  </si>
  <si>
    <t>, vuelve a las 16.30</t>
  </si>
  <si>
    <t>p</t>
  </si>
  <si>
    <t>Tarde</t>
  </si>
  <si>
    <t>1H DE PARO</t>
  </si>
  <si>
    <t>552 ACUMULADO</t>
  </si>
  <si>
    <t>PROBLEMAS AIRE COMPRIMIDO</t>
  </si>
  <si>
    <t>LIMPIEZA FIN DE TURNO</t>
  </si>
  <si>
    <t>SE PARA POR FALTA AIRE COMPRIMIDO</t>
  </si>
  <si>
    <t>SE INICA TARDE POR FALTA AIRE COMPRIMIDOS</t>
  </si>
  <si>
    <t>PARADAS POR FALTA COMP,AL FINAL CF AL 180</t>
  </si>
  <si>
    <t>FALTA DE AIRE</t>
  </si>
  <si>
    <t>FALTA DE COMPRIMIDOS</t>
  </si>
  <si>
    <t>FALTA COMPRIMIDOS</t>
  </si>
  <si>
    <t>Fecha</t>
  </si>
  <si>
    <t>Horas</t>
  </si>
  <si>
    <t>Fallo calculo disponibilidad</t>
  </si>
  <si>
    <t>grafic rend</t>
  </si>
  <si>
    <t>Si</t>
  </si>
  <si>
    <t>SI</t>
  </si>
  <si>
    <t>Row Labels</t>
  </si>
  <si>
    <t>Grand Total</t>
  </si>
  <si>
    <t>17-mar Total</t>
  </si>
  <si>
    <t>18-mar Total</t>
  </si>
  <si>
    <t>19-mar Total</t>
  </si>
  <si>
    <t>20-mar Total</t>
  </si>
  <si>
    <t>21-mar Total</t>
  </si>
  <si>
    <t>mar Total</t>
  </si>
  <si>
    <t>12 Total</t>
  </si>
  <si>
    <t>24-mar Total</t>
  </si>
  <si>
    <t>25-mar Total</t>
  </si>
  <si>
    <t>26-mar Total</t>
  </si>
  <si>
    <t>27-mar Total</t>
  </si>
  <si>
    <t>28-mar Total</t>
  </si>
  <si>
    <t>13 Total</t>
  </si>
  <si>
    <t>11-abr Total</t>
  </si>
  <si>
    <t>abr Total</t>
  </si>
  <si>
    <t>15 Total</t>
  </si>
  <si>
    <t>14-abr Total</t>
  </si>
  <si>
    <t>15-abr Total</t>
  </si>
  <si>
    <t>16-abr Total</t>
  </si>
  <si>
    <t>16 Total</t>
  </si>
  <si>
    <t>22-abr Total</t>
  </si>
  <si>
    <t>23-abr Total</t>
  </si>
  <si>
    <t>24-abr Total</t>
  </si>
  <si>
    <t>25-abr Total</t>
  </si>
  <si>
    <t>17 Total</t>
  </si>
  <si>
    <t>28-abr Total</t>
  </si>
  <si>
    <t>29-abr Total</t>
  </si>
  <si>
    <t>30-abr Total</t>
  </si>
  <si>
    <t>02-may Total</t>
  </si>
  <si>
    <t>may Total</t>
  </si>
  <si>
    <t>18 Total</t>
  </si>
  <si>
    <t>05-may Total</t>
  </si>
  <si>
    <t>06-may Total</t>
  </si>
  <si>
    <t>07-may Total</t>
  </si>
  <si>
    <t>08-may Total</t>
  </si>
  <si>
    <t>09-may Total</t>
  </si>
  <si>
    <t>19 Total</t>
  </si>
  <si>
    <t>12-may Total</t>
  </si>
  <si>
    <t>13-may Total</t>
  </si>
  <si>
    <t>14-may Total</t>
  </si>
  <si>
    <t>15-may Total</t>
  </si>
  <si>
    <t>16-may Total</t>
  </si>
  <si>
    <t>20 Total</t>
  </si>
  <si>
    <t>19-may Total</t>
  </si>
  <si>
    <t>20-may Total</t>
  </si>
  <si>
    <t>21-may Total</t>
  </si>
  <si>
    <t>22-may Total</t>
  </si>
  <si>
    <t>23-may Total</t>
  </si>
  <si>
    <t>21 Total</t>
  </si>
  <si>
    <t>26-may Total</t>
  </si>
  <si>
    <t>27-may Total</t>
  </si>
  <si>
    <t>28-may Total</t>
  </si>
  <si>
    <t>29-may Total</t>
  </si>
  <si>
    <t>30-may Total</t>
  </si>
  <si>
    <t>22 Total</t>
  </si>
  <si>
    <t>04-jun Total</t>
  </si>
  <si>
    <t>05-jun Total</t>
  </si>
  <si>
    <t>06-jun Total</t>
  </si>
  <si>
    <t>jun Total</t>
  </si>
  <si>
    <t>23 Total</t>
  </si>
  <si>
    <t>04-feb Total</t>
  </si>
  <si>
    <t>05-feb Total</t>
  </si>
  <si>
    <t>06-feb Total</t>
  </si>
  <si>
    <t>07-feb Total</t>
  </si>
  <si>
    <t>feb Total</t>
  </si>
  <si>
    <t>6 Total</t>
  </si>
  <si>
    <t>10-feb Total</t>
  </si>
  <si>
    <t>11-feb Total</t>
  </si>
  <si>
    <t>12-feb Total</t>
  </si>
  <si>
    <t>13-feb Total</t>
  </si>
  <si>
    <t>14-feb Total</t>
  </si>
  <si>
    <t>7 Total</t>
  </si>
  <si>
    <t>17-feb Total</t>
  </si>
  <si>
    <t>18-feb Total</t>
  </si>
  <si>
    <t>19-feb Total</t>
  </si>
  <si>
    <t>20-feb Total</t>
  </si>
  <si>
    <t>8 Total</t>
  </si>
  <si>
    <t>28-feb Total</t>
  </si>
  <si>
    <t>9 Total</t>
  </si>
  <si>
    <t>03-mar Total</t>
  </si>
  <si>
    <t>04-mar Total</t>
  </si>
  <si>
    <t>05-mar Total</t>
  </si>
  <si>
    <t>06-mar Total</t>
  </si>
  <si>
    <t>07-mar Total</t>
  </si>
  <si>
    <t>10 Total</t>
  </si>
  <si>
    <t>10-mar Total</t>
  </si>
  <si>
    <t>11-mar Total</t>
  </si>
  <si>
    <t>12-mar Total</t>
  </si>
  <si>
    <t>13-mar Total</t>
  </si>
  <si>
    <t>11 Total</t>
  </si>
  <si>
    <t>09-jun Total</t>
  </si>
  <si>
    <t>10-jun Total</t>
  </si>
  <si>
    <t>11-jun Total</t>
  </si>
  <si>
    <t>12-jun Total</t>
  </si>
  <si>
    <t>24 Total</t>
  </si>
  <si>
    <t>17-jun Total</t>
  </si>
  <si>
    <t>18-jun Total</t>
  </si>
  <si>
    <t>20-jun Total</t>
  </si>
  <si>
    <t>25 Total</t>
  </si>
  <si>
    <t>25-jun Total</t>
  </si>
  <si>
    <t>26-jun Total</t>
  </si>
  <si>
    <t>27-jun Total</t>
  </si>
  <si>
    <t>26 Total</t>
  </si>
  <si>
    <t>30-jun Total</t>
  </si>
  <si>
    <t>01-jul Total</t>
  </si>
  <si>
    <t>02-jul Total</t>
  </si>
  <si>
    <t>03-jul Total</t>
  </si>
  <si>
    <t>04-jul Total</t>
  </si>
  <si>
    <t>jul Total</t>
  </si>
  <si>
    <t>27 Total</t>
  </si>
  <si>
    <t>07-jul Total</t>
  </si>
  <si>
    <t>08-jul Total</t>
  </si>
  <si>
    <t>09-jul Total</t>
  </si>
  <si>
    <t>10-jul Total</t>
  </si>
  <si>
    <t>11-jul Total</t>
  </si>
  <si>
    <t>28 Total</t>
  </si>
  <si>
    <t>14-jul Total</t>
  </si>
  <si>
    <t>15-jul Total</t>
  </si>
  <si>
    <t>16-jul Total</t>
  </si>
  <si>
    <t>17-jul Total</t>
  </si>
  <si>
    <t>18-jul Total</t>
  </si>
  <si>
    <t>29 Total</t>
  </si>
  <si>
    <t>21-jul Total</t>
  </si>
  <si>
    <t>22-jul Total</t>
  </si>
  <si>
    <t>23-jul Total</t>
  </si>
  <si>
    <t>25-jul Total</t>
  </si>
  <si>
    <t>30 Total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</si>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</sst>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h:mm;@"/>
    <numFmt numFmtId="166" formatCode="0.0%"/>
  </numFmts>
  <fonts count="7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b/>
      <sz val="11"/>
      <color theme="0" tint="-0.249977111117893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ED973"/>
        <bgColor rgb="FF000000"/>
      </patternFill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1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20" fontId="0" fillId="0" borderId="0" xfId="0" applyNumberFormat="1"/>
    <xf numFmtId="0" fontId="0" fillId="0" borderId="0" xfId="0" pivotButton="1"/>
    <xf numFmtId="164" fontId="0" fillId="0" borderId="0" xfId="0" applyNumberFormat="1"/>
    <xf numFmtId="2" fontId="0" fillId="0" borderId="0" xfId="0" applyNumberFormat="1"/>
    <xf numFmtId="1" fontId="1" fillId="2" borderId="0" xfId="0" applyNumberFormat="1" applyFont="1" applyFill="1" applyAlignment="1">
      <alignment horizontal="center" vertical="center"/>
    </xf>
    <xf numFmtId="1" fontId="0" fillId="0" borderId="0" xfId="0" applyNumberFormat="1"/>
    <xf numFmtId="9" fontId="0" fillId="0" borderId="0" xfId="1" applyFont="1"/>
    <xf numFmtId="9" fontId="0" fillId="0" borderId="0" xfId="0" applyNumberFormat="1"/>
    <xf numFmtId="0" fontId="0" fillId="0" borderId="0" xfId="0" applyAlignment="1">
      <alignment horizontal="left"/>
    </xf>
    <xf numFmtId="165" fontId="0" fillId="0" borderId="0" xfId="0" applyNumberFormat="1"/>
    <xf numFmtId="9" fontId="1" fillId="2" borderId="0" xfId="1" applyFont="1" applyFill="1" applyAlignment="1">
      <alignment horizontal="center" vertical="center"/>
    </xf>
    <xf numFmtId="1" fontId="0" fillId="0" borderId="0" xfId="0" applyNumberFormat="1" applyAlignment="1">
      <alignment horizontal="left"/>
    </xf>
    <xf numFmtId="0" fontId="3" fillId="0" borderId="0" xfId="0" applyFont="1"/>
    <xf numFmtId="1" fontId="3" fillId="0" borderId="0" xfId="0" applyNumberFormat="1" applyFont="1"/>
    <xf numFmtId="0" fontId="4" fillId="2" borderId="0" xfId="0" applyFont="1" applyFill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20" fontId="3" fillId="0" borderId="0" xfId="0" applyNumberFormat="1" applyFont="1"/>
    <xf numFmtId="16" fontId="0" fillId="0" borderId="0" xfId="0" applyNumberFormat="1"/>
    <xf numFmtId="9" fontId="3" fillId="0" borderId="0" xfId="1" applyFont="1"/>
    <xf numFmtId="9" fontId="3" fillId="0" borderId="0" xfId="0" applyNumberFormat="1" applyFont="1"/>
    <xf numFmtId="165" fontId="3" fillId="0" borderId="0" xfId="0" applyNumberFormat="1" applyFont="1"/>
    <xf numFmtId="10" fontId="0" fillId="0" borderId="0" xfId="0" applyNumberFormat="1"/>
    <xf numFmtId="0" fontId="5" fillId="0" borderId="0" xfId="0" applyFont="1"/>
    <xf numFmtId="0" fontId="6" fillId="2" borderId="0" xfId="0" applyFont="1" applyFill="1" applyAlignment="1">
      <alignment horizontal="center" vertical="center"/>
    </xf>
    <xf numFmtId="9" fontId="5" fillId="0" borderId="0" xfId="0" applyNumberFormat="1" applyFont="1"/>
    <xf numFmtId="20" fontId="0" fillId="0" borderId="0" xfId="0" applyNumberFormat="1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NumberFormat="1"/>
    <xf numFmtId="166" fontId="0" fillId="0" borderId="0" xfId="1" applyNumberFormat="1" applyFont="1"/>
    <xf numFmtId="166" fontId="0" fillId="0" borderId="0" xfId="0" applyNumberFormat="1"/>
  </cellXfs>
  <cellStyles count="2">
    <cellStyle name="Normal" xfId="0" builtinId="0"/>
    <cellStyle name="Percent" xfId="1" builtinId="5"/>
  </cellStyles>
  <dxfs count="36">
    <dxf>
      <numFmt numFmtId="164" formatCode="[$-F400]h:mm:ss\ AM/PM"/>
    </dxf>
    <dxf>
      <numFmt numFmtId="2" formatCode="0.00"/>
    </dxf>
    <dxf>
      <numFmt numFmtId="2" formatCode="0.00"/>
    </dxf>
    <dxf>
      <numFmt numFmtId="164" formatCode="[$-F400]h:mm:ss\ AM/PM"/>
    </dxf>
    <dxf>
      <numFmt numFmtId="2" formatCode="0.00"/>
    </dxf>
    <dxf>
      <numFmt numFmtId="2" formatCode="0.00"/>
    </dxf>
    <dxf>
      <font>
        <strike val="0"/>
        <outline val="0"/>
        <shadow val="0"/>
        <u val="none"/>
        <vertAlign val="baseline"/>
        <sz val="11"/>
        <color theme="0" tint="-0.14999847407452621"/>
        <name val="Aptos Narrow"/>
        <family val="2"/>
        <scheme val="minor"/>
      </font>
      <numFmt numFmtId="13" formatCode="0%"/>
    </dxf>
    <dxf>
      <font>
        <strike val="0"/>
        <outline val="0"/>
        <shadow val="0"/>
        <u val="none"/>
        <vertAlign val="baseline"/>
        <sz val="11"/>
        <color theme="0" tint="-0.249977111117893"/>
        <name val="Aptos Narrow"/>
        <family val="2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1"/>
        <color theme="0" tint="-0.249977111117893"/>
        <name val="Aptos Narrow"/>
        <family val="2"/>
        <scheme val="minor"/>
      </font>
      <numFmt numFmtId="13" formatCode="0%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0" tint="-0.249977111117893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0" tint="-0.249977111117893"/>
        <name val="Aptos Narrow"/>
        <family val="2"/>
        <scheme val="minor"/>
      </font>
      <numFmt numFmtId="13" formatCode="0%"/>
    </dxf>
    <dxf>
      <font>
        <strike val="0"/>
        <outline val="0"/>
        <shadow val="0"/>
        <u val="none"/>
        <vertAlign val="baseline"/>
        <sz val="11"/>
        <color theme="0" tint="-0.249977111117893"/>
        <name val="Aptos Narrow"/>
        <family val="2"/>
        <scheme val="minor"/>
      </font>
      <numFmt numFmtId="13" formatCode="0%"/>
    </dxf>
    <dxf>
      <font>
        <strike val="0"/>
        <outline val="0"/>
        <shadow val="0"/>
        <u val="none"/>
        <vertAlign val="baseline"/>
        <sz val="11"/>
        <color theme="0" tint="-0.249977111117893"/>
        <name val="Aptos Narrow"/>
        <family val="2"/>
        <scheme val="minor"/>
      </font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000000"/>
          <bgColor rgb="FF8ED973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0" tint="-0.249977111117893"/>
        <name val="Aptos Narrow"/>
        <family val="2"/>
        <scheme val="minor"/>
      </font>
      <numFmt numFmtId="165" formatCode="h:mm;@"/>
    </dxf>
    <dxf>
      <numFmt numFmtId="25" formatCode="h:mm"/>
    </dxf>
    <dxf>
      <font>
        <strike val="0"/>
        <outline val="0"/>
        <shadow val="0"/>
        <u val="none"/>
        <vertAlign val="baseline"/>
        <sz val="11"/>
        <color theme="0" tint="-0.249977111117893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0" tint="-0.249977111117893"/>
        <name val="Aptos Narrow"/>
        <family val="2"/>
        <scheme val="minor"/>
      </font>
      <numFmt numFmtId="1" formatCode="0"/>
    </dxf>
    <dxf>
      <numFmt numFmtId="1" formatCode="0"/>
    </dxf>
    <dxf>
      <font>
        <strike val="0"/>
        <outline val="0"/>
        <shadow val="0"/>
        <u val="none"/>
        <vertAlign val="baseline"/>
        <sz val="11"/>
        <color theme="0" tint="-0.249977111117893"/>
        <name val="Aptos Narrow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249977111117893"/>
        <name val="Aptos Narrow"/>
        <family val="2"/>
        <scheme val="minor"/>
      </font>
      <numFmt numFmtId="25" formatCode="h:mm"/>
    </dxf>
    <dxf>
      <font>
        <strike val="0"/>
        <outline val="0"/>
        <shadow val="0"/>
        <u val="none"/>
        <vertAlign val="baseline"/>
        <sz val="11"/>
        <color theme="0" tint="-0.249977111117893"/>
        <name val="Aptos Narrow"/>
        <family val="2"/>
        <scheme val="minor"/>
      </font>
      <numFmt numFmtId="25" formatCode="h:mm"/>
    </dxf>
    <dxf>
      <font>
        <strike val="0"/>
        <outline val="0"/>
        <shadow val="0"/>
        <u val="none"/>
        <vertAlign val="baseline"/>
        <sz val="11"/>
        <color theme="0" tint="-0.249977111117893"/>
        <name val="Aptos Narrow"/>
        <family val="2"/>
        <scheme val="minor"/>
      </font>
      <numFmt numFmtId="25" formatCode="h:mm"/>
    </dxf>
    <dxf>
      <numFmt numFmtId="25" formatCode="h:mm"/>
    </dxf>
    <dxf>
      <numFmt numFmtId="25" formatCode="h:mm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rgb="FF000000"/>
          <bgColor rgb="FF8ED973"/>
        </patternFill>
      </fill>
      <alignment horizontal="center" vertical="center" textRotation="0" wrapText="0" indent="0" justifyLastLine="0" shrinkToFit="0" readingOrder="0"/>
    </dxf>
    <dxf>
      <numFmt numFmtId="13" formatCode="0%"/>
    </dxf>
    <dxf>
      <numFmt numFmtId="2" formatCode="0.00"/>
    </dxf>
    <dxf>
      <numFmt numFmtId="2" formatCode="0.00"/>
    </dxf>
    <dxf>
      <numFmt numFmtId="164" formatCode="[$-F400]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1/relationships/timelineCache" Target="timelineCaches/timelineCache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1/relationships/timelineCache" Target="timelineCaches/timelineCache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[TOMA DE DATOS P,LC,CF,CL_TFG.xlsx]DASHBOARD!TablaDinámica2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OEE-</a:t>
            </a:r>
            <a:r>
              <a:rPr lang="en-US" baseline="0"/>
              <a:t> BOTES</a:t>
            </a:r>
            <a:endParaRPr lang="en-US"/>
          </a:p>
        </c:rich>
      </c:tx>
      <c:layout>
        <c:manualLayout>
          <c:xMode val="edge"/>
          <c:yMode val="edge"/>
          <c:x val="0.44853881292862346"/>
          <c:y val="0.11804301697004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5406769167424449E-2"/>
          <c:y val="0.3493807832805122"/>
          <c:w val="0.93836291792910498"/>
          <c:h val="0.44787978958814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DASHBOARD!$A$4:$A$27</c:f>
              <c:strCache>
                <c:ptCount val="23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</c:strCache>
            </c:strRef>
          </c:cat>
          <c:val>
            <c:numRef>
              <c:f>DASHBOARD!$B$4:$B$27</c:f>
              <c:numCache>
                <c:formatCode>0%</c:formatCode>
                <c:ptCount val="23"/>
                <c:pt idx="0">
                  <c:v>0.32800000000000001</c:v>
                </c:pt>
                <c:pt idx="1">
                  <c:v>0.38013333333333343</c:v>
                </c:pt>
                <c:pt idx="2">
                  <c:v>0.17831481481481481</c:v>
                </c:pt>
                <c:pt idx="3">
                  <c:v>0.26048148148148137</c:v>
                </c:pt>
                <c:pt idx="4">
                  <c:v>0.22514814814814818</c:v>
                </c:pt>
                <c:pt idx="5">
                  <c:v>0.24329629629629629</c:v>
                </c:pt>
                <c:pt idx="6">
                  <c:v>0.56007407407407395</c:v>
                </c:pt>
                <c:pt idx="7">
                  <c:v>0.36076296296296301</c:v>
                </c:pt>
                <c:pt idx="8">
                  <c:v>0.30397222222222225</c:v>
                </c:pt>
                <c:pt idx="9">
                  <c:v>0.30457548252477828</c:v>
                </c:pt>
                <c:pt idx="10">
                  <c:v>0.35932592592592594</c:v>
                </c:pt>
                <c:pt idx="11">
                  <c:v>0.5198370370370371</c:v>
                </c:pt>
                <c:pt idx="12">
                  <c:v>0.41614814814814816</c:v>
                </c:pt>
                <c:pt idx="13">
                  <c:v>0.38439259259259262</c:v>
                </c:pt>
                <c:pt idx="14">
                  <c:v>0.43825000000000003</c:v>
                </c:pt>
                <c:pt idx="15">
                  <c:v>0.37439999999999996</c:v>
                </c:pt>
                <c:pt idx="16">
                  <c:v>0.26853055555555549</c:v>
                </c:pt>
                <c:pt idx="17">
                  <c:v>0.41360493827160494</c:v>
                </c:pt>
                <c:pt idx="18">
                  <c:v>0.37371851851851856</c:v>
                </c:pt>
                <c:pt idx="19">
                  <c:v>0.53393333333333337</c:v>
                </c:pt>
                <c:pt idx="20">
                  <c:v>0.20759259259259261</c:v>
                </c:pt>
                <c:pt idx="21">
                  <c:v>0.55714814814814817</c:v>
                </c:pt>
                <c:pt idx="2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C5-4DD6-AAEC-F8CD0074A5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81850591"/>
        <c:axId val="1081847231"/>
      </c:barChart>
      <c:catAx>
        <c:axId val="1081850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81847231"/>
        <c:crosses val="autoZero"/>
        <c:auto val="1"/>
        <c:lblAlgn val="ctr"/>
        <c:lblOffset val="100"/>
        <c:noMultiLvlLbl val="0"/>
      </c:catAx>
      <c:valAx>
        <c:axId val="108184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81850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[TOMA DE DATOS P,LC,CF,CL_TFG.xlsx]Pareto de paradas!TablaDinámica3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'Pareto de paradas'!$B$3</c:f>
              <c:strCache>
                <c:ptCount val="1"/>
                <c:pt idx="0">
                  <c:v>Tiempo de no producción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'Pareto de paradas'!$A$4:$A$7</c:f>
              <c:strCache>
                <c:ptCount val="3"/>
                <c:pt idx="0">
                  <c:v>P</c:v>
                </c:pt>
                <c:pt idx="1">
                  <c:v>LC</c:v>
                </c:pt>
                <c:pt idx="2">
                  <c:v>CF</c:v>
                </c:pt>
              </c:strCache>
            </c:strRef>
          </c:cat>
          <c:val>
            <c:numRef>
              <c:f>'Pareto de paradas'!$B$4:$B$7</c:f>
              <c:numCache>
                <c:formatCode>h:mm</c:formatCode>
                <c:ptCount val="3"/>
                <c:pt idx="0">
                  <c:v>3.2916666666666665</c:v>
                </c:pt>
                <c:pt idx="1">
                  <c:v>2.25</c:v>
                </c:pt>
                <c:pt idx="2">
                  <c:v>0.10416666666666667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DB-4B67-8811-8FC6C478D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88618063"/>
        <c:axId val="1788621903"/>
      </c:barChart>
      <c:lineChart>
        <c:grouping val="standard"/>
        <c:varyColors val="0"/>
        <c:ser>
          <c:idx val="1"/>
          <c:order val="1"/>
          <c:tx>
            <c:strRef>
              <c:f>'Pareto de paradas'!$C$3</c:f>
              <c:strCache>
                <c:ptCount val="1"/>
                <c:pt idx="0">
                  <c:v>% del 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'Pareto de paradas'!$A$4:$A$7</c:f>
              <c:strCache>
                <c:ptCount val="3"/>
                <c:pt idx="0">
                  <c:v>P</c:v>
                </c:pt>
                <c:pt idx="1">
                  <c:v>LC</c:v>
                </c:pt>
                <c:pt idx="2">
                  <c:v>CF</c:v>
                </c:pt>
              </c:strCache>
            </c:strRef>
          </c:cat>
          <c:val>
            <c:numRef>
              <c:f>'Pareto de paradas'!$C$4:$C$7</c:f>
              <c:numCache>
                <c:formatCode>0.00%</c:formatCode>
                <c:ptCount val="3"/>
                <c:pt idx="0">
                  <c:v>0.6470588235294118</c:v>
                </c:pt>
                <c:pt idx="1">
                  <c:v>0.29411764705882354</c:v>
                </c:pt>
                <c:pt idx="2">
                  <c:v>5.8823529411764705E-2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2DB-4B67-8811-8FC6C478D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2542831"/>
        <c:axId val="1736842191"/>
      </c:lineChart>
      <c:catAx>
        <c:axId val="1788618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88621903"/>
        <c:crosses val="autoZero"/>
        <c:auto val="1"/>
        <c:lblAlgn val="ctr"/>
        <c:lblOffset val="100"/>
        <c:noMultiLvlLbl val="0"/>
      </c:catAx>
      <c:valAx>
        <c:axId val="178862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88618063"/>
        <c:crosses val="autoZero"/>
        <c:crossBetween val="between"/>
      </c:valAx>
      <c:valAx>
        <c:axId val="1736842191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92542831"/>
        <c:crosses val="max"/>
        <c:crossBetween val="between"/>
      </c:valAx>
      <c:catAx>
        <c:axId val="15925428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368421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367857</xdr:colOff>
      <xdr:row>9</xdr:row>
      <xdr:rowOff>45927</xdr:rowOff>
    </xdr:from>
    <xdr:to>
      <xdr:col>14</xdr:col>
      <xdr:colOff>380557</xdr:colOff>
      <xdr:row>24</xdr:row>
      <xdr:rowOff>26876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FBF173F-C244-D66A-6F2F-386F4171EA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420577</xdr:colOff>
      <xdr:row>0</xdr:row>
      <xdr:rowOff>73689</xdr:rowOff>
    </xdr:from>
    <xdr:to>
      <xdr:col>7</xdr:col>
      <xdr:colOff>173222</xdr:colOff>
      <xdr:row>7</xdr:row>
      <xdr:rowOff>153138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" name="Fecha">
              <a:extLst>
                <a:ext uri="{FF2B5EF4-FFF2-40B4-BE49-F238E27FC236}">
                  <a16:creationId xmlns:a16="http://schemas.microsoft.com/office/drawing/2014/main" id="{DF892019-1ABB-F6CC-7A4E-F5CB576CF1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65228" y="73689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469900</xdr:colOff>
      <xdr:row>9</xdr:row>
      <xdr:rowOff>69850</xdr:rowOff>
    </xdr:from>
    <xdr:to>
      <xdr:col>15</xdr:col>
      <xdr:colOff>298450</xdr:colOff>
      <xdr:row>22</xdr:row>
      <xdr:rowOff>44450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628FA37-151F-64EA-37B0-1FC8889E31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558800</xdr:colOff>
      <xdr:row>1</xdr:row>
      <xdr:rowOff>12700</xdr:rowOff>
    </xdr:from>
    <xdr:to>
      <xdr:col>9</xdr:col>
      <xdr:colOff>457199</xdr:colOff>
      <xdr:row>8</xdr:row>
      <xdr:rowOff>95250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" name="Día 1">
              <a:extLst>
                <a:ext uri="{FF2B5EF4-FFF2-40B4-BE49-F238E27FC236}">
                  <a16:creationId xmlns:a16="http://schemas.microsoft.com/office/drawing/2014/main" id="{5F456EDD-C3F2-2BC5-F910-0EF13DA496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í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72859" y="199465"/>
              <a:ext cx="3334870" cy="138990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228600</xdr:colOff>
      <xdr:row>0</xdr:row>
      <xdr:rowOff>88900</xdr:rowOff>
    </xdr:from>
    <xdr:to>
      <xdr:col>15</xdr:col>
      <xdr:colOff>228600</xdr:colOff>
      <xdr:row>8</xdr:row>
      <xdr:rowOff>120650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P/LC/CF/CL 1">
              <a:extLst>
                <a:ext uri="{FF2B5EF4-FFF2-40B4-BE49-F238E27FC236}">
                  <a16:creationId xmlns:a16="http://schemas.microsoft.com/office/drawing/2014/main" id="{DC18C1E3-F496-4C51-0774-61C2453D0D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/LC/CF/CL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41129" y="88900"/>
              <a:ext cx="3810000" cy="15258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66.409717708331" createdVersion="8" refreshedVersion="8" minRefreshableVersion="3" recordCount="339" xr:uid="{A90ED4FA-A027-49A3-A08F-76DFD3868CAF}">
  <cacheSource type="worksheet">
    <worksheetSource name="Tabla3"/>
  </cacheSource>
  <cacheFields count="14">
    <cacheField name="Fecha" numFmtId="14">
      <sharedItems containsSemiMixedTypes="0" containsNonDate="0" containsDate="1" containsString="0" minDate="2025-01-27T00:00:00" maxDate="2026-01-01T00:00:00" count="339"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</sharedItems>
      <fieldGroup par="12"/>
    </cacheField>
    <cacheField name="Horas" numFmtId="164">
      <sharedItems containsSemiMixedTypes="0" containsNonDate="0" containsDate="1" containsString="0" minDate="1899-12-30T00:00:00" maxDate="1899-12-31T00:00:00"/>
    </cacheField>
    <cacheField name="Cantidad producida" numFmtId="0">
      <sharedItems containsString="0" containsBlank="1" containsNumber="1" containsInteger="1" minValue="0" maxValue="24951"/>
    </cacheField>
    <cacheField name="Cantidad teórica" numFmtId="0">
      <sharedItems containsSemiMixedTypes="0" containsString="0" containsNumber="1" minValue="0" maxValue="28800"/>
    </cacheField>
    <cacheField name="Rendimiento" numFmtId="9">
      <sharedItems containsMixedTypes="1" containsNumber="1" minValue="0" maxValue="1.4331333333333331"/>
    </cacheField>
    <cacheField name="Disponibilidad" numFmtId="9">
      <sharedItems containsSemiMixedTypes="0" containsString="0" containsNumber="1" minValue="0" maxValue="1.0666666666666667"/>
    </cacheField>
    <cacheField name="Fallo calculo disponibilidad" numFmtId="0">
      <sharedItems/>
    </cacheField>
    <cacheField name="LC" numFmtId="0">
      <sharedItems containsBlank="1"/>
    </cacheField>
    <cacheField name="OEE" numFmtId="9">
      <sharedItems containsMixedTypes="1" containsNumber="1" minValue="0" maxValue="0.92411111111111111" count="104">
        <s v="No"/>
        <n v="0.10200000000000002"/>
        <n v="0.48666666666666675"/>
        <n v="0.40511111111111114"/>
        <n v="0.31822222222222224"/>
        <n v="1.42222222222222E-2"/>
        <n v="0.21555555555555558"/>
        <n v="0.54488888888888909"/>
        <n v="0.7413333333333334"/>
        <n v="0.38466666666666688"/>
        <n v="0.34444444444444444"/>
        <n v="0.10311111111111108"/>
        <n v="0.22866666666666666"/>
        <n v="3.7037037037037035E-2"/>
        <n v="0.26048148148148137"/>
        <n v="0.21585185185185191"/>
        <n v="9.8888888888888873E-2"/>
        <n v="5.011111111111112E-2"/>
        <n v="0.12000000000000009"/>
        <n v="0.64088888888888895"/>
        <n v="0.4762222222222221"/>
        <n v="7.5555555555555612E-2"/>
        <n v="4.4296296296296306E-2"/>
        <n v="0.37711111111111112"/>
        <n v="0.77340740740740732"/>
        <n v="0.66022222222222215"/>
        <n v="0.70911111111111103"/>
        <n v="0.65762962962962956"/>
        <n v="0"/>
        <n v="0.35200000000000004"/>
        <n v="0.17925925925925926"/>
        <n v="0.41318518518518521"/>
        <n v="0.80625925925925923"/>
        <n v="5.3111111111111046E-2"/>
        <n v="0.5646296296296297"/>
        <n v="0.32270370370370371"/>
        <n v="0.32855555555555555"/>
        <n v="6.6370370370370371E-2"/>
        <n v="0.41844444444444451"/>
        <n v="0.20748148148148149"/>
        <n v="0.52600563380281684"/>
        <n v="0.34777777777777774"/>
        <n v="0.40866666666666679"/>
        <n v="0.45577777777777784"/>
        <n v="0.34966666666666657"/>
        <n v="0.23474074074074081"/>
        <n v="0.46955555555555567"/>
        <n v="0.70666666666666678"/>
        <n v="0.84970370370370352"/>
        <n v="0.2339259259259259"/>
        <n v="0.33933333333333338"/>
        <n v="0.68577777777777771"/>
        <n v="0.63207407407407412"/>
        <n v="0.26874074074074078"/>
        <n v="0.13059259259259259"/>
        <n v="0.36355555555555563"/>
        <n v="0.37822222222222229"/>
        <n v="0.33066666666666672"/>
        <n v="0.31688888888888889"/>
        <n v="0.43574074074074082"/>
        <n v="0.46044444444444443"/>
        <n v="0.1148148148148148"/>
        <n v="0.84200000000000008"/>
        <n v="0.79618518518518511"/>
        <n v="0.36577777777777776"/>
        <n v="0.74755555555555564"/>
        <n v="0.7586666666666666"/>
        <n v="0.15614814814814809"/>
        <n v="0.65707407407407392"/>
        <n v="0.26090000000000002"/>
        <n v="0.35488888888888886"/>
        <n v="0.39711111111111108"/>
        <n v="0.48881481481481476"/>
        <n v="0.29318518518518522"/>
        <n v="0.39674074074074089"/>
        <n v="0.43333333333333335"/>
        <n v="0.48088888888888881"/>
        <n v="0.26444444444444443"/>
        <n v="0.4044444444444445"/>
        <n v="0.75333333333333341"/>
        <n v="0.90600000000000003"/>
        <n v="0.41266666666666668"/>
        <n v="0.19322222222222221"/>
        <n v="0.10911111111111113"/>
        <n v="0.36262962962962969"/>
        <n v="0.56622222222222229"/>
        <n v="0.83500000000000019"/>
        <n v="0.92411111111111111"/>
        <n v="0.42974074074074059"/>
        <n v="3.9740740740740729E-2"/>
        <n v="0.19322222222222227" u="1"/>
        <n v="0.56622222222222218" u="1"/>
        <n v="0.83499999999999996" u="1"/>
        <n v="0.29318518518518527" u="1"/>
        <n v="4.5407407407407424E-2" u="1"/>
        <n v="0.18014814814814814" u="1"/>
        <n v="0.53111111111111042" u="1"/>
        <n v="9.1306584362139877E-6" u="1"/>
        <n v="3.4444444444444444E-2" u="1"/>
        <n v="0.35200000000000009" u="1"/>
        <n v="0.1792592592592592" u="1"/>
        <n v="5.2111111111111094E-2" u="1"/>
        <n v="0.58274074074074078" u="1"/>
        <n v="0.74133333333333329" u="1"/>
      </sharedItems>
    </cacheField>
    <cacheField name="Semana" numFmtId="1">
      <sharedItems containsMixedTypes="1" containsNumber="1" containsInteger="1" minValue="5" maxValue="53" count="50">
        <s v=""/>
        <n v="6"/>
        <n v="7"/>
        <n v="8"/>
        <n v="9"/>
        <n v="10"/>
        <n v="11"/>
        <n v="12"/>
        <n v="13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5" u="1"/>
        <n v="14" u="1"/>
        <n v="15" u="1"/>
        <n v="16" u="1"/>
        <n v="31" u="1"/>
        <n v="32" u="1"/>
        <n v="33" u="1"/>
        <n v="34" u="1"/>
        <n v="35" u="1"/>
        <n v="36" u="1"/>
        <n v="37" u="1"/>
        <n v="38" u="1"/>
        <n v="39" u="1"/>
        <n v="40" u="1"/>
        <n v="41" u="1"/>
        <n v="42" u="1"/>
        <n v="43" u="1"/>
        <n v="44" u="1"/>
        <n v="45" u="1"/>
        <n v="46" u="1"/>
        <n v="47" u="1"/>
        <n v="48" u="1"/>
        <n v="49" u="1"/>
        <n v="50" u="1"/>
        <n v="51" u="1"/>
        <n v="52" u="1"/>
        <n v="53" u="1"/>
      </sharedItems>
    </cacheField>
    <cacheField name="grafic rend" numFmtId="9">
      <sharedItems containsMixedTypes="1" containsNumber="1" minValue="0" maxValue="1.4331333333333331"/>
    </cacheField>
    <cacheField name="Días (Fecha)" numFmtId="0" databaseField="0">
      <fieldGroup base="0">
        <rangePr groupBy="days" startDate="2025-01-27T00:00:00" endDate="2026-01-01T00:00:00"/>
        <groupItems count="368">
          <s v="&lt;27/01/2025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01/01/2026"/>
        </groupItems>
      </fieldGroup>
    </cacheField>
    <cacheField name="Meses (Fecha)" numFmtId="0" databaseField="0">
      <fieldGroup base="0">
        <rangePr groupBy="months" startDate="2025-01-27T00:00:00" endDate="2026-01-01T00:00:00"/>
        <groupItems count="14">
          <s v="&lt;27/01/2025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01/01/2026"/>
        </groupItems>
      </fieldGroup>
    </cacheField>
    <cacheField name="REND" numFmtId="0" formula="OEE/Disponibilidad" databaseField="0"/>
  </cacheFields>
  <extLst>
    <ext xmlns:x14="http://schemas.microsoft.com/office/spreadsheetml/2009/9/main" uri="{725AE2AE-9491-48be-B2B4-4EB974FC3084}">
      <x14:pivotCacheDefinition pivotCacheId="999723609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quel" refreshedDate="45900.524680671297" createdVersion="8" refreshedVersion="8" minRefreshableVersion="3" recordCount="264" xr:uid="{8C87F5AA-B719-4D1C-83EB-B079338830C4}">
  <cacheSource type="worksheet">
    <worksheetSource name="Tabla1"/>
  </cacheSource>
  <cacheFields count="16">
    <cacheField name="Día" numFmtId="0">
      <sharedItems containsSemiMixedTypes="0" containsNonDate="0" containsDate="1" containsString="0" minDate="2025-02-04T00:00:00" maxDate="2025-07-26T00:00:00" count="98">
        <d v="2025-02-04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4T00:00:00"/>
        <d v="2025-02-17T00:00:00"/>
        <d v="2025-02-18T00:00:00"/>
        <d v="2025-02-19T00:00:00"/>
        <d v="2025-02-20T00:00:00"/>
        <d v="2025-02-28T00:00:00"/>
        <d v="2025-03-03T00:00:00"/>
        <d v="2025-03-04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7T00:00:00"/>
        <d v="2025-03-28T00:00:00"/>
        <d v="2025-04-11T00:00:00"/>
        <d v="2025-04-14T00:00:00"/>
        <d v="2025-04-15T00:00:00"/>
        <d v="2025-04-16T00:00:00"/>
        <d v="2025-04-22T00:00:00"/>
        <d v="2025-04-23T00:00:00"/>
        <d v="2025-04-24T00:00:00"/>
        <d v="2025-04-25T00:00:00"/>
        <d v="2025-04-28T00:00:00"/>
        <d v="2025-04-29T00:00:00"/>
        <d v="2025-04-30T00:00:00"/>
        <d v="2025-05-02T00:00:00"/>
        <d v="2025-05-05T00:00:00"/>
        <d v="2025-05-06T00:00:00"/>
        <d v="2025-05-07T00:00:00"/>
        <d v="2025-05-08T00:00:00"/>
        <d v="2025-05-09T00:00:00"/>
        <d v="2025-05-12T00:00:00"/>
        <d v="2025-05-13T00:00:00"/>
        <d v="2025-05-14T00:00:00"/>
        <d v="2025-05-15T00:00:00"/>
        <d v="2025-05-16T00:00:00"/>
        <d v="2025-05-19T00:00:00"/>
        <d v="2025-05-20T00:00:00"/>
        <d v="2025-05-21T00:00:00"/>
        <d v="2025-05-22T00:00:00"/>
        <d v="2025-05-23T00:00:00"/>
        <d v="2025-05-26T00:00:00"/>
        <d v="2025-05-27T00:00:00"/>
        <d v="2025-05-28T00:00:00"/>
        <d v="2025-05-29T00:00:00"/>
        <d v="2025-05-30T00:00:00"/>
        <d v="2025-06-04T00:00:00"/>
        <d v="2025-06-05T00:00:00"/>
        <d v="2025-06-06T00:00:00"/>
        <d v="2025-06-09T00:00:00"/>
        <d v="2025-06-10T00:00:00"/>
        <d v="2025-06-11T00:00:00"/>
        <d v="2025-06-12T00:00:00"/>
        <d v="2025-06-17T00:00:00"/>
        <d v="2025-06-18T00:00:00"/>
        <d v="2025-06-20T00:00:00"/>
        <d v="2025-06-25T00:00:00"/>
        <d v="2025-06-26T00:00:00"/>
        <d v="2025-06-27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09T00:00:00"/>
        <d v="2025-07-10T00:00:00"/>
        <d v="2025-07-11T00:00:00"/>
        <d v="2025-07-14T00:00:00"/>
        <d v="2025-07-15T00:00:00"/>
        <d v="2025-07-16T00:00:00"/>
        <d v="2025-07-17T00:00:00"/>
        <d v="2025-07-18T00:00:00"/>
        <d v="2025-07-21T00:00:00"/>
        <d v="2025-07-22T00:00:00"/>
        <d v="2025-07-23T00:00:00"/>
        <d v="2025-07-25T00:00:00"/>
        <d v="2025-06-19T00:00:00" u="1"/>
      </sharedItems>
      <fieldGroup par="15"/>
    </cacheField>
    <cacheField name="Hora inicio" numFmtId="20">
      <sharedItems containsNonDate="0" containsDate="1" containsString="0" containsBlank="1" minDate="1899-12-30T06:00:00" maxDate="1899-12-30T21:10:00"/>
    </cacheField>
    <cacheField name="Hora fin " numFmtId="20">
      <sharedItems containsNonDate="0" containsDate="1" containsString="0" containsBlank="1" minDate="1899-12-30T06:30:00" maxDate="1899-12-30T22:20:00"/>
    </cacheField>
    <cacheField name="Turno" numFmtId="20">
      <sharedItems/>
    </cacheField>
    <cacheField name="P/LC/CF/CL" numFmtId="0">
      <sharedItems containsBlank="1" count="8">
        <s v="P"/>
        <s v="CL"/>
        <s v="LC"/>
        <s v="CF"/>
        <m/>
        <s v="LS" u="1"/>
        <s v="Formación" u="1"/>
        <s v="formacion" u="1"/>
      </sharedItems>
    </cacheField>
    <cacheField name="Tiempo producción" numFmtId="20">
      <sharedItems containsDate="1" containsMixedTypes="1" minDate="1899-12-30T00:15:00" maxDate="1899-12-30T16:00:00"/>
    </cacheField>
    <cacheField name="Tiempo no producción" numFmtId="20">
      <sharedItems containsSemiMixedTypes="0" containsNonDate="0" containsDate="1" containsString="0" minDate="1899-12-30T00:00:00" maxDate="1899-12-30T16:00:00"/>
    </cacheField>
    <cacheField name="Semana" numFmtId="1">
      <sharedItems containsSemiMixedTypes="0" containsString="0" containsNumber="1" containsInteger="1" minValue="0" maxValue="30" count="25">
        <n v="6"/>
        <n v="7"/>
        <n v="8"/>
        <n v="9"/>
        <n v="10"/>
        <n v="11"/>
        <n v="12"/>
        <n v="13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0" u="1"/>
      </sharedItems>
    </cacheField>
    <cacheField name="Cantidad producida" numFmtId="0">
      <sharedItems containsString="0" containsBlank="1" containsNumber="1" containsInteger="1" minValue="1" maxValue="12468"/>
    </cacheField>
    <cacheField name="Cantidad teórica" numFmtId="1">
      <sharedItems containsMixedTypes="1" containsNumber="1" minValue="450" maxValue="28800"/>
    </cacheField>
    <cacheField name="Rendimiento" numFmtId="1">
      <sharedItems containsMixedTypes="1" containsNumber="1" minValue="0" maxValue="4.2733333333333334"/>
    </cacheField>
    <cacheField name="Observaciones" numFmtId="20">
      <sharedItems containsBlank="1"/>
    </cacheField>
    <cacheField name="tiempo no prod" numFmtId="165">
      <sharedItems containsDate="1" containsBlank="1" containsMixedTypes="1" minDate="1899-12-30T00:00:00" maxDate="1899-12-30T13:20:00"/>
    </cacheField>
    <cacheField name="Comprobar" numFmtId="0">
      <sharedItems/>
    </cacheField>
    <cacheField name="Días (Día)" numFmtId="0" databaseField="0">
      <fieldGroup base="0">
        <rangePr groupBy="days" startDate="2025-02-04T00:00:00" endDate="2025-07-26T00:00:00"/>
        <groupItems count="368">
          <s v="&lt;04/02/2025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6/07/2025"/>
        </groupItems>
      </fieldGroup>
    </cacheField>
    <cacheField name="Meses (Día)" numFmtId="0" databaseField="0">
      <fieldGroup base="0">
        <rangePr groupBy="months" startDate="2025-02-04T00:00:00" endDate="2025-07-26T00:00:00"/>
        <groupItems count="14">
          <s v="&lt;04/02/2025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6/07/2025"/>
        </groupItems>
      </fieldGroup>
    </cacheField>
  </cacheFields>
  <extLst>
    <ext xmlns:x14="http://schemas.microsoft.com/office/spreadsheetml/2009/9/main" uri="{725AE2AE-9491-48be-B2B4-4EB974FC3084}">
      <x14:pivotCacheDefinition pivotCacheId="86352226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9">
  <r>
    <x v="0"/>
    <d v="1899-12-30T00:00:00"/>
    <m/>
    <n v="0"/>
    <s v=""/>
    <n v="0"/>
    <s v=""/>
    <s v=""/>
    <x v="0"/>
    <x v="0"/>
    <s v=""/>
  </r>
  <r>
    <x v="1"/>
    <d v="1899-12-30T00:00:00"/>
    <m/>
    <n v="0"/>
    <s v=""/>
    <n v="0"/>
    <s v=""/>
    <s v=""/>
    <x v="0"/>
    <x v="0"/>
    <s v=""/>
  </r>
  <r>
    <x v="2"/>
    <d v="1899-12-30T00:00:00"/>
    <m/>
    <n v="0"/>
    <s v=""/>
    <n v="0"/>
    <s v=""/>
    <s v=""/>
    <x v="0"/>
    <x v="0"/>
    <s v=""/>
  </r>
  <r>
    <x v="3"/>
    <d v="1899-12-30T00:00:00"/>
    <m/>
    <n v="0"/>
    <s v=""/>
    <n v="0"/>
    <s v=""/>
    <s v=""/>
    <x v="0"/>
    <x v="0"/>
    <s v=""/>
  </r>
  <r>
    <x v="4"/>
    <d v="1899-12-30T00:00:00"/>
    <m/>
    <n v="0"/>
    <s v=""/>
    <n v="0"/>
    <s v=""/>
    <s v=""/>
    <x v="0"/>
    <x v="0"/>
    <s v=""/>
  </r>
  <r>
    <x v="5"/>
    <d v="1899-12-30T00:00:00"/>
    <m/>
    <n v="0"/>
    <s v=""/>
    <n v="0"/>
    <s v=""/>
    <s v=""/>
    <x v="0"/>
    <x v="0"/>
    <s v=""/>
  </r>
  <r>
    <x v="6"/>
    <d v="1899-12-30T00:00:00"/>
    <m/>
    <n v="0"/>
    <s v=""/>
    <n v="0"/>
    <s v=""/>
    <s v=""/>
    <x v="0"/>
    <x v="0"/>
    <s v=""/>
  </r>
  <r>
    <x v="7"/>
    <d v="1899-12-30T00:00:00"/>
    <m/>
    <n v="0"/>
    <s v=""/>
    <n v="0"/>
    <s v=""/>
    <s v=""/>
    <x v="0"/>
    <x v="0"/>
    <s v=""/>
  </r>
  <r>
    <x v="8"/>
    <d v="1899-12-30T02:10:00"/>
    <n v="2754"/>
    <n v="3899.9999999999995"/>
    <n v="0.70615384615384624"/>
    <n v="0.14444444444444446"/>
    <s v=""/>
    <s v=""/>
    <x v="1"/>
    <x v="1"/>
    <n v="0.70615384615384624"/>
  </r>
  <r>
    <x v="9"/>
    <d v="1899-12-30T11:25:00"/>
    <n v="13140"/>
    <n v="20550"/>
    <n v="0.6394160583941606"/>
    <n v="0.76111111111111118"/>
    <s v=""/>
    <s v=""/>
    <x v="2"/>
    <x v="1"/>
    <n v="0.6394160583941606"/>
  </r>
  <r>
    <x v="10"/>
    <d v="1899-12-30T08:15:00"/>
    <n v="10938"/>
    <n v="14850"/>
    <n v="0.73656565656565653"/>
    <n v="0.55000000000000004"/>
    <s v=""/>
    <s v=""/>
    <x v="3"/>
    <x v="1"/>
    <n v="0.73656565656565653"/>
  </r>
  <r>
    <x v="11"/>
    <d v="1899-12-30T08:20:00"/>
    <n v="8592"/>
    <n v="15000.000000000002"/>
    <n v="0.57279999999999998"/>
    <n v="0.55555555555555558"/>
    <s v=""/>
    <s v=""/>
    <x v="4"/>
    <x v="1"/>
    <n v="0.57279999999999998"/>
  </r>
  <r>
    <x v="12"/>
    <d v="1899-12-30T00:00:00"/>
    <m/>
    <n v="0"/>
    <s v=""/>
    <n v="0"/>
    <s v=""/>
    <s v=""/>
    <x v="0"/>
    <x v="0"/>
    <s v=""/>
  </r>
  <r>
    <x v="13"/>
    <d v="1899-12-30T00:00:00"/>
    <m/>
    <n v="0"/>
    <s v=""/>
    <n v="0"/>
    <s v=""/>
    <s v=""/>
    <x v="0"/>
    <x v="0"/>
    <s v=""/>
  </r>
  <r>
    <x v="14"/>
    <d v="1899-12-30T01:20:00"/>
    <n v="384"/>
    <n v="2400"/>
    <n v="0.16"/>
    <n v="8.8888888888888754E-2"/>
    <s v=""/>
    <s v=""/>
    <x v="5"/>
    <x v="2"/>
    <n v="0.16"/>
  </r>
  <r>
    <x v="15"/>
    <d v="1899-12-30T06:45:00"/>
    <n v="5820"/>
    <n v="12150"/>
    <n v="0.47901234567901235"/>
    <n v="0.45000000000000007"/>
    <s v=""/>
    <s v=""/>
    <x v="6"/>
    <x v="2"/>
    <n v="0.47901234567901235"/>
  </r>
  <r>
    <x v="16"/>
    <d v="1899-12-30T14:50:00"/>
    <n v="14712"/>
    <n v="26700"/>
    <n v="0.55101123595505619"/>
    <n v="0.98888888888888915"/>
    <s v=""/>
    <s v=""/>
    <x v="7"/>
    <x v="2"/>
    <n v="0.55101123595505619"/>
  </r>
  <r>
    <x v="17"/>
    <d v="1899-12-30T14:30:00"/>
    <n v="20016"/>
    <n v="26100"/>
    <n v="0.76689655172413795"/>
    <n v="0.96666666666666679"/>
    <s v=""/>
    <s v=""/>
    <x v="8"/>
    <x v="2"/>
    <n v="0.76689655172413795"/>
  </r>
  <r>
    <x v="18"/>
    <d v="1899-12-30T06:40:00"/>
    <n v="10386"/>
    <n v="12000"/>
    <n v="0.86550000000000005"/>
    <n v="0.44444444444444464"/>
    <s v=""/>
    <s v=""/>
    <x v="9"/>
    <x v="2"/>
    <n v="0.86550000000000005"/>
  </r>
  <r>
    <x v="19"/>
    <d v="1899-12-30T00:00:00"/>
    <m/>
    <n v="0"/>
    <s v=""/>
    <n v="0"/>
    <s v=""/>
    <s v=""/>
    <x v="0"/>
    <x v="0"/>
    <s v=""/>
  </r>
  <r>
    <x v="20"/>
    <d v="1899-12-30T00:00:00"/>
    <m/>
    <n v="0"/>
    <s v=""/>
    <n v="0"/>
    <s v=""/>
    <s v=""/>
    <x v="0"/>
    <x v="0"/>
    <s v=""/>
  </r>
  <r>
    <x v="21"/>
    <d v="1899-12-30T07:40:00"/>
    <n v="9300"/>
    <n v="13800"/>
    <n v="0.67391304347826086"/>
    <n v="0.51111111111111107"/>
    <s v=""/>
    <s v=""/>
    <x v="10"/>
    <x v="3"/>
    <n v="0.67391304347826086"/>
  </r>
  <r>
    <x v="22"/>
    <d v="1899-12-30T02:20:00"/>
    <n v="2784"/>
    <n v="4200"/>
    <n v="0.66285714285714281"/>
    <n v="0.15555555555555553"/>
    <s v=""/>
    <s v=""/>
    <x v="11"/>
    <x v="3"/>
    <n v="0.66285714285714281"/>
  </r>
  <r>
    <x v="23"/>
    <d v="1899-12-30T14:05:00"/>
    <n v="6174"/>
    <n v="25350"/>
    <n v="0.24355029585798815"/>
    <n v="0.93888888888888888"/>
    <s v=""/>
    <s v=""/>
    <x v="12"/>
    <x v="3"/>
    <n v="0.24355029585798815"/>
  </r>
  <r>
    <x v="24"/>
    <d v="1899-12-30T02:15:00"/>
    <n v="1000"/>
    <n v="4050"/>
    <n v="0.24691358024691357"/>
    <n v="0.15"/>
    <s v=""/>
    <s v=""/>
    <x v="13"/>
    <x v="3"/>
    <n v="0.24691358024691357"/>
  </r>
  <r>
    <x v="25"/>
    <d v="1899-12-30T00:00:00"/>
    <m/>
    <n v="0"/>
    <s v=""/>
    <n v="0"/>
    <s v=""/>
    <s v=""/>
    <x v="0"/>
    <x v="0"/>
    <s v=""/>
  </r>
  <r>
    <x v="26"/>
    <d v="1899-12-30T00:00:00"/>
    <m/>
    <n v="0"/>
    <s v=""/>
    <n v="0"/>
    <s v=""/>
    <s v=""/>
    <x v="0"/>
    <x v="0"/>
    <s v=""/>
  </r>
  <r>
    <x v="27"/>
    <d v="1899-12-30T00:00:00"/>
    <m/>
    <n v="0"/>
    <s v=""/>
    <n v="0"/>
    <s v=""/>
    <s v=""/>
    <x v="0"/>
    <x v="0"/>
    <s v=""/>
  </r>
  <r>
    <x v="28"/>
    <d v="1899-12-30T00:00:00"/>
    <m/>
    <n v="0"/>
    <s v=""/>
    <n v="0"/>
    <s v=""/>
    <s v=""/>
    <x v="0"/>
    <x v="0"/>
    <s v=""/>
  </r>
  <r>
    <x v="29"/>
    <d v="1899-12-30T00:00:00"/>
    <m/>
    <n v="0"/>
    <s v=""/>
    <n v="0"/>
    <s v=""/>
    <s v=""/>
    <x v="0"/>
    <x v="0"/>
    <s v=""/>
  </r>
  <r>
    <x v="30"/>
    <d v="1899-12-30T00:00:00"/>
    <m/>
    <n v="0"/>
    <s v=""/>
    <n v="0"/>
    <s v=""/>
    <s v=""/>
    <x v="0"/>
    <x v="0"/>
    <s v=""/>
  </r>
  <r>
    <x v="31"/>
    <d v="1899-12-30T00:00:00"/>
    <m/>
    <n v="0"/>
    <s v=""/>
    <n v="0"/>
    <s v=""/>
    <s v=""/>
    <x v="0"/>
    <x v="0"/>
    <s v=""/>
  </r>
  <r>
    <x v="32"/>
    <d v="1899-12-30T09:25:00"/>
    <n v="7033"/>
    <n v="16950"/>
    <n v="0.41492625368731562"/>
    <n v="0.62777777777777755"/>
    <s v=""/>
    <s v=""/>
    <x v="14"/>
    <x v="4"/>
    <n v="0.41492625368731562"/>
  </r>
  <r>
    <x v="33"/>
    <d v="1899-12-30T00:00:00"/>
    <m/>
    <n v="0"/>
    <s v=""/>
    <n v="0"/>
    <s v=""/>
    <s v=""/>
    <x v="0"/>
    <x v="0"/>
    <s v=""/>
  </r>
  <r>
    <x v="34"/>
    <d v="1899-12-30T00:00:00"/>
    <m/>
    <n v="0"/>
    <s v=""/>
    <n v="0"/>
    <s v=""/>
    <s v=""/>
    <x v="0"/>
    <x v="0"/>
    <s v=""/>
  </r>
  <r>
    <x v="35"/>
    <d v="1899-12-30T08:55:00"/>
    <n v="5828"/>
    <n v="16049.999999999998"/>
    <n v="0.36311526479750783"/>
    <n v="0.59444444444444455"/>
    <s v=""/>
    <s v=""/>
    <x v="15"/>
    <x v="5"/>
    <n v="0.36311526479750783"/>
  </r>
  <r>
    <x v="36"/>
    <d v="1899-12-30T04:30:00"/>
    <n v="2670"/>
    <n v="8100"/>
    <n v="0.32962962962962961"/>
    <n v="0.3"/>
    <s v=""/>
    <s v=""/>
    <x v="16"/>
    <x v="5"/>
    <n v="0.32962962962962961"/>
  </r>
  <r>
    <x v="37"/>
    <d v="1899-12-30T03:35:00"/>
    <n v="1353"/>
    <n v="6450"/>
    <n v="0.20976744186046511"/>
    <n v="0.23888888888888893"/>
    <s v=""/>
    <s v=""/>
    <x v="17"/>
    <x v="5"/>
    <n v="0.20976744186046511"/>
  </r>
  <r>
    <x v="38"/>
    <d v="1899-12-30T03:40:00"/>
    <n v="3240"/>
    <n v="6600"/>
    <n v="0.49090909090909091"/>
    <n v="0.24444444444444463"/>
    <s v=""/>
    <s v=""/>
    <x v="18"/>
    <x v="5"/>
    <n v="0.49090909090909091"/>
  </r>
  <r>
    <x v="39"/>
    <d v="1899-12-30T14:30:00"/>
    <n v="17304"/>
    <n v="26100"/>
    <n v="0.66298850574712642"/>
    <n v="0.96666666666666679"/>
    <s v=""/>
    <s v=""/>
    <x v="19"/>
    <x v="5"/>
    <n v="0.66298850574712642"/>
  </r>
  <r>
    <x v="40"/>
    <d v="1899-12-30T00:00:00"/>
    <m/>
    <n v="0"/>
    <s v=""/>
    <n v="0"/>
    <s v=""/>
    <s v=""/>
    <x v="0"/>
    <x v="0"/>
    <s v=""/>
  </r>
  <r>
    <x v="41"/>
    <d v="1899-12-30T00:00:00"/>
    <m/>
    <n v="0"/>
    <s v=""/>
    <n v="0"/>
    <s v=""/>
    <s v=""/>
    <x v="0"/>
    <x v="0"/>
    <s v=""/>
  </r>
  <r>
    <x v="42"/>
    <d v="1899-12-30T13:15:00"/>
    <n v="12858"/>
    <n v="23850"/>
    <n v="0.53911949685534588"/>
    <n v="0.88333333333333319"/>
    <s v=""/>
    <s v=""/>
    <x v="20"/>
    <x v="6"/>
    <n v="0.53911949685534588"/>
  </r>
  <r>
    <x v="43"/>
    <d v="1899-12-30T02:30:00"/>
    <n v="2040"/>
    <n v="4500"/>
    <n v="0.45333333333333331"/>
    <n v="0.1666666666666668"/>
    <s v=""/>
    <s v=""/>
    <x v="21"/>
    <x v="6"/>
    <n v="0.45333333333333331"/>
  </r>
  <r>
    <x v="44"/>
    <d v="1899-12-30T03:15:00"/>
    <n v="1196"/>
    <n v="5850"/>
    <n v="0.20444444444444446"/>
    <n v="0.2166666666666667"/>
    <s v=""/>
    <s v=""/>
    <x v="22"/>
    <x v="6"/>
    <n v="0.20444444444444446"/>
  </r>
  <r>
    <x v="45"/>
    <d v="1899-12-30T07:20:00"/>
    <n v="10182"/>
    <n v="13200"/>
    <n v="0.77136363636363636"/>
    <n v="0.48888888888888893"/>
    <s v=""/>
    <s v=""/>
    <x v="23"/>
    <x v="6"/>
    <n v="0.77136363636363636"/>
  </r>
  <r>
    <x v="46"/>
    <d v="1899-12-30T00:00:00"/>
    <m/>
    <n v="0"/>
    <s v=""/>
    <n v="0"/>
    <s v=""/>
    <s v=""/>
    <x v="0"/>
    <x v="0"/>
    <s v=""/>
  </r>
  <r>
    <x v="47"/>
    <d v="1899-12-30T00:00:00"/>
    <m/>
    <n v="0"/>
    <s v=""/>
    <n v="0"/>
    <s v=""/>
    <s v=""/>
    <x v="0"/>
    <x v="0"/>
    <s v=""/>
  </r>
  <r>
    <x v="48"/>
    <d v="1899-12-30T00:00:00"/>
    <m/>
    <n v="0"/>
    <s v=""/>
    <n v="0"/>
    <s v=""/>
    <s v=""/>
    <x v="0"/>
    <x v="0"/>
    <s v=""/>
  </r>
  <r>
    <x v="49"/>
    <d v="1899-12-30T14:35:00"/>
    <n v="20882"/>
    <n v="26250"/>
    <n v="0.79550476190476194"/>
    <n v="0.9722222222222221"/>
    <s v=""/>
    <s v=""/>
    <x v="24"/>
    <x v="7"/>
    <n v="0.79550476190476194"/>
  </r>
  <r>
    <x v="50"/>
    <d v="1899-12-30T14:00:00"/>
    <n v="17826"/>
    <n v="25200"/>
    <n v="0.70738095238095233"/>
    <n v="0.93333333333333324"/>
    <s v=""/>
    <s v=""/>
    <x v="25"/>
    <x v="7"/>
    <n v="0.70738095238095233"/>
  </r>
  <r>
    <x v="51"/>
    <d v="1899-12-30T14:35:00"/>
    <n v="19146"/>
    <n v="26250"/>
    <n v="0.72937142857142856"/>
    <n v="0.9722222222222221"/>
    <s v=""/>
    <s v=""/>
    <x v="26"/>
    <x v="7"/>
    <n v="0.72937142857142856"/>
  </r>
  <r>
    <x v="52"/>
    <d v="1899-12-30T12:43:00"/>
    <n v="17756"/>
    <n v="22890"/>
    <n v="0.77570991699432068"/>
    <n v="0.84777777777777774"/>
    <s v=""/>
    <s v=""/>
    <x v="27"/>
    <x v="7"/>
    <n v="0.77570991699432057"/>
  </r>
  <r>
    <x v="53"/>
    <d v="1899-12-30T02:15:00"/>
    <m/>
    <n v="4050"/>
    <n v="0"/>
    <n v="0.15"/>
    <s v=""/>
    <s v="SI"/>
    <x v="28"/>
    <x v="7"/>
    <n v="0"/>
  </r>
  <r>
    <x v="54"/>
    <d v="1899-12-30T00:00:00"/>
    <m/>
    <n v="0"/>
    <s v=""/>
    <n v="0"/>
    <s v=""/>
    <s v=""/>
    <x v="0"/>
    <x v="0"/>
    <s v=""/>
  </r>
  <r>
    <x v="55"/>
    <d v="1899-12-30T00:00:00"/>
    <m/>
    <n v="0"/>
    <s v=""/>
    <n v="0"/>
    <s v=""/>
    <s v=""/>
    <x v="0"/>
    <x v="0"/>
    <s v=""/>
  </r>
  <r>
    <x v="56"/>
    <d v="1899-12-30T09:20:00"/>
    <n v="9504"/>
    <n v="16800"/>
    <n v="0.56571428571428573"/>
    <n v="0.62222222222222223"/>
    <s v=""/>
    <s v=""/>
    <x v="29"/>
    <x v="8"/>
    <n v="0.56571428571428573"/>
  </r>
  <r>
    <x v="57"/>
    <d v="1899-12-30T05:40:00"/>
    <n v="4840"/>
    <n v="10200"/>
    <n v="0.47450980392156861"/>
    <n v="0.37777777777777777"/>
    <s v=""/>
    <s v="SI"/>
    <x v="30"/>
    <x v="8"/>
    <n v="0.47450980392156861"/>
  </r>
  <r>
    <x v="58"/>
    <d v="1899-12-30T11:15:00"/>
    <n v="11156"/>
    <n v="20250"/>
    <n v="0.55091358024691361"/>
    <n v="0.75"/>
    <s v=""/>
    <s v=""/>
    <x v="31"/>
    <x v="8"/>
    <n v="0.55091358024691361"/>
  </r>
  <r>
    <x v="59"/>
    <d v="1899-12-30T14:15:00"/>
    <n v="21769"/>
    <n v="25650"/>
    <n v="0.84869395711500972"/>
    <n v="0.95"/>
    <s v=""/>
    <s v=""/>
    <x v="32"/>
    <x v="8"/>
    <n v="0.84869395711500972"/>
  </r>
  <r>
    <x v="60"/>
    <d v="1899-12-30T00:35:00"/>
    <n v="1434"/>
    <n v="1050"/>
    <n v="1.3657142857142857"/>
    <n v="3.8888888888888841E-2"/>
    <s v=""/>
    <s v=""/>
    <x v="33"/>
    <x v="8"/>
    <n v="1.3657142857142857"/>
  </r>
  <r>
    <x v="61"/>
    <d v="1899-12-30T00:00:00"/>
    <m/>
    <n v="0"/>
    <s v=""/>
    <n v="0"/>
    <s v=""/>
    <s v=""/>
    <x v="0"/>
    <x v="0"/>
    <s v=""/>
  </r>
  <r>
    <x v="62"/>
    <d v="1899-12-30T00:00:00"/>
    <m/>
    <n v="0"/>
    <s v=""/>
    <n v="0"/>
    <s v=""/>
    <s v=""/>
    <x v="0"/>
    <x v="0"/>
    <s v=""/>
  </r>
  <r>
    <x v="63"/>
    <d v="1899-12-30T00:00:00"/>
    <m/>
    <n v="0"/>
    <s v=""/>
    <n v="0"/>
    <s v=""/>
    <s v=""/>
    <x v="0"/>
    <x v="0"/>
    <s v=""/>
  </r>
  <r>
    <x v="64"/>
    <d v="1899-12-30T00:00:00"/>
    <m/>
    <n v="0"/>
    <s v=""/>
    <n v="0"/>
    <s v=""/>
    <s v=""/>
    <x v="0"/>
    <x v="0"/>
    <s v=""/>
  </r>
  <r>
    <x v="65"/>
    <d v="1899-12-30T00:00:00"/>
    <m/>
    <n v="0"/>
    <s v=""/>
    <n v="0"/>
    <s v=""/>
    <s v=""/>
    <x v="0"/>
    <x v="0"/>
    <s v=""/>
  </r>
  <r>
    <x v="66"/>
    <d v="1899-12-30T00:00:00"/>
    <m/>
    <n v="0"/>
    <s v=""/>
    <n v="0"/>
    <s v=""/>
    <s v=""/>
    <x v="0"/>
    <x v="0"/>
    <s v=""/>
  </r>
  <r>
    <x v="67"/>
    <d v="1899-12-30T00:00:00"/>
    <m/>
    <n v="0"/>
    <s v=""/>
    <n v="0"/>
    <s v=""/>
    <s v=""/>
    <x v="0"/>
    <x v="0"/>
    <s v=""/>
  </r>
  <r>
    <x v="68"/>
    <d v="1899-12-30T00:00:00"/>
    <m/>
    <n v="0"/>
    <s v=""/>
    <n v="0"/>
    <s v=""/>
    <s v=""/>
    <x v="0"/>
    <x v="0"/>
    <s v=""/>
  </r>
  <r>
    <x v="69"/>
    <d v="1899-12-30T00:00:00"/>
    <m/>
    <n v="0"/>
    <s v=""/>
    <n v="0"/>
    <s v=""/>
    <s v=""/>
    <x v="0"/>
    <x v="0"/>
    <s v=""/>
  </r>
  <r>
    <x v="70"/>
    <d v="1899-12-30T00:00:00"/>
    <n v="7112"/>
    <n v="0"/>
    <s v=""/>
    <n v="0"/>
    <s v=""/>
    <s v=""/>
    <x v="0"/>
    <x v="0"/>
    <s v=""/>
  </r>
  <r>
    <x v="71"/>
    <d v="1899-12-30T00:00:00"/>
    <m/>
    <n v="0"/>
    <s v=""/>
    <n v="0"/>
    <s v=""/>
    <s v=""/>
    <x v="0"/>
    <x v="0"/>
    <s v=""/>
  </r>
  <r>
    <x v="72"/>
    <d v="1899-12-30T00:00:00"/>
    <m/>
    <n v="0"/>
    <s v=""/>
    <n v="0"/>
    <s v=""/>
    <s v=""/>
    <x v="0"/>
    <x v="0"/>
    <s v=""/>
  </r>
  <r>
    <x v="73"/>
    <d v="1899-12-30T00:00:00"/>
    <m/>
    <n v="0"/>
    <s v=""/>
    <n v="0"/>
    <s v=""/>
    <s v=""/>
    <x v="0"/>
    <x v="0"/>
    <s v=""/>
  </r>
  <r>
    <x v="74"/>
    <d v="1899-12-30T00:00:00"/>
    <m/>
    <n v="0"/>
    <s v=""/>
    <n v="0"/>
    <s v=""/>
    <s v=""/>
    <x v="0"/>
    <x v="0"/>
    <s v=""/>
  </r>
  <r>
    <x v="75"/>
    <d v="1899-12-30T00:00:00"/>
    <m/>
    <n v="0"/>
    <s v=""/>
    <n v="0"/>
    <s v=""/>
    <s v=""/>
    <x v="0"/>
    <x v="0"/>
    <s v=""/>
  </r>
  <r>
    <x v="76"/>
    <d v="1899-12-30T00:00:00"/>
    <m/>
    <n v="0"/>
    <s v=""/>
    <n v="0"/>
    <s v=""/>
    <s v=""/>
    <x v="0"/>
    <x v="0"/>
    <s v=""/>
  </r>
  <r>
    <x v="77"/>
    <d v="1899-12-30T00:00:00"/>
    <n v="1771"/>
    <n v="0"/>
    <s v=""/>
    <n v="0"/>
    <s v=""/>
    <s v=""/>
    <x v="0"/>
    <x v="0"/>
    <s v=""/>
  </r>
  <r>
    <x v="78"/>
    <d v="1899-12-30T00:00:00"/>
    <n v="3510"/>
    <n v="0"/>
    <s v=""/>
    <n v="0"/>
    <s v=""/>
    <s v=""/>
    <x v="0"/>
    <x v="0"/>
    <s v=""/>
  </r>
  <r>
    <x v="79"/>
    <d v="1899-12-30T00:00:00"/>
    <n v="12688"/>
    <n v="0"/>
    <s v=""/>
    <n v="0"/>
    <s v=""/>
    <s v=""/>
    <x v="0"/>
    <x v="0"/>
    <s v=""/>
  </r>
  <r>
    <x v="80"/>
    <d v="1899-12-30T00:00:00"/>
    <m/>
    <n v="0"/>
    <s v=""/>
    <n v="0"/>
    <s v=""/>
    <s v=""/>
    <x v="0"/>
    <x v="0"/>
    <s v=""/>
  </r>
  <r>
    <x v="81"/>
    <d v="1899-12-30T00:00:00"/>
    <m/>
    <n v="0"/>
    <s v=""/>
    <n v="0"/>
    <s v=""/>
    <s v=""/>
    <x v="0"/>
    <x v="0"/>
    <s v=""/>
  </r>
  <r>
    <x v="82"/>
    <d v="1899-12-30T00:00:00"/>
    <m/>
    <n v="0"/>
    <s v=""/>
    <n v="0"/>
    <s v=""/>
    <s v=""/>
    <x v="0"/>
    <x v="0"/>
    <s v=""/>
  </r>
  <r>
    <x v="83"/>
    <d v="1899-12-30T00:00:00"/>
    <m/>
    <n v="0"/>
    <s v=""/>
    <n v="0"/>
    <s v=""/>
    <s v=""/>
    <x v="0"/>
    <x v="0"/>
    <s v=""/>
  </r>
  <r>
    <x v="84"/>
    <d v="1899-12-30T00:00:00"/>
    <m/>
    <n v="0"/>
    <s v=""/>
    <n v="0"/>
    <s v=""/>
    <s v=""/>
    <x v="0"/>
    <x v="0"/>
    <s v=""/>
  </r>
  <r>
    <x v="85"/>
    <d v="1899-12-30T08:00:00"/>
    <m/>
    <n v="14400"/>
    <n v="0"/>
    <n v="0.53333333333333321"/>
    <s v=""/>
    <s v="SI"/>
    <x v="28"/>
    <x v="9"/>
    <n v="0"/>
  </r>
  <r>
    <x v="86"/>
    <d v="1899-12-30T16:00:00"/>
    <n v="15245"/>
    <n v="28800"/>
    <n v="0.52934027777777781"/>
    <n v="1.0666666666666667"/>
    <s v="NO"/>
    <s v=""/>
    <x v="34"/>
    <x v="9"/>
    <n v="0.52934027777777781"/>
  </r>
  <r>
    <x v="87"/>
    <d v="1899-12-30T16:00:00"/>
    <n v="8713"/>
    <n v="28800"/>
    <n v="0.30253472222222222"/>
    <n v="1.0666666666666667"/>
    <s v="NO"/>
    <s v=""/>
    <x v="35"/>
    <x v="9"/>
    <n v="0.30253472222222222"/>
  </r>
  <r>
    <x v="88"/>
    <d v="1899-12-30T09:40:00"/>
    <n v="8871"/>
    <n v="17400"/>
    <n v="0.5098275862068965"/>
    <n v="0.64444444444444449"/>
    <s v=""/>
    <s v=""/>
    <x v="36"/>
    <x v="9"/>
    <n v="0.5098275862068965"/>
  </r>
  <r>
    <x v="89"/>
    <d v="1899-12-30T00:00:00"/>
    <m/>
    <n v="0"/>
    <s v=""/>
    <n v="0"/>
    <s v=""/>
    <s v=""/>
    <x v="0"/>
    <x v="0"/>
    <s v=""/>
  </r>
  <r>
    <x v="90"/>
    <d v="1899-12-30T00:00:00"/>
    <m/>
    <n v="0"/>
    <s v=""/>
    <n v="0"/>
    <s v=""/>
    <s v=""/>
    <x v="0"/>
    <x v="0"/>
    <s v=""/>
  </r>
  <r>
    <x v="91"/>
    <d v="1899-12-30T10:30:00"/>
    <n v="1792"/>
    <n v="18900"/>
    <n v="9.481481481481481E-2"/>
    <n v="0.70000000000000007"/>
    <s v=""/>
    <s v=""/>
    <x v="37"/>
    <x v="10"/>
    <n v="9.481481481481481E-2"/>
  </r>
  <r>
    <x v="92"/>
    <d v="1899-12-30T07:15:00"/>
    <n v="11298"/>
    <n v="13050"/>
    <n v="0.86574712643678164"/>
    <n v="0.48333333333333339"/>
    <s v=""/>
    <s v=""/>
    <x v="38"/>
    <x v="10"/>
    <n v="0.86574712643678164"/>
  </r>
  <r>
    <x v="93"/>
    <d v="1899-12-30T11:35:00"/>
    <n v="5602"/>
    <n v="20850"/>
    <n v="0.26868105515587531"/>
    <n v="0.77222222222222225"/>
    <s v=""/>
    <s v=""/>
    <x v="39"/>
    <x v="10"/>
    <n v="0.26868105515587531"/>
  </r>
  <r>
    <x v="94"/>
    <d v="1899-12-30T00:00:00"/>
    <m/>
    <n v="0"/>
    <s v=""/>
    <n v="0"/>
    <s v=""/>
    <s v=""/>
    <x v="0"/>
    <x v="0"/>
    <s v=""/>
  </r>
  <r>
    <x v="95"/>
    <d v="1899-12-30T05:55:00"/>
    <n v="7182"/>
    <n v="10650"/>
    <n v="0.67436619718309854"/>
    <n v="0.78"/>
    <s v=""/>
    <s v=""/>
    <x v="40"/>
    <x v="10"/>
    <n v="0.67436619718309854"/>
  </r>
  <r>
    <x v="96"/>
    <d v="1899-12-30T00:00:00"/>
    <m/>
    <n v="0"/>
    <s v=""/>
    <n v="0"/>
    <s v=""/>
    <s v=""/>
    <x v="0"/>
    <x v="0"/>
    <s v=""/>
  </r>
  <r>
    <x v="97"/>
    <d v="1899-12-30T00:00:00"/>
    <m/>
    <n v="0"/>
    <s v=""/>
    <n v="0"/>
    <s v=""/>
    <s v=""/>
    <x v="0"/>
    <x v="0"/>
    <s v=""/>
  </r>
  <r>
    <x v="98"/>
    <d v="1899-12-30T12:45:00"/>
    <n v="9390"/>
    <n v="22950"/>
    <n v="0.40915032679738561"/>
    <n v="0.85"/>
    <s v=""/>
    <s v=""/>
    <x v="41"/>
    <x v="11"/>
    <n v="0.40915032679738561"/>
  </r>
  <r>
    <x v="99"/>
    <d v="1899-12-30T07:30:00"/>
    <n v="11034"/>
    <n v="13500"/>
    <n v="0.81733333333333336"/>
    <n v="0.50000000000000011"/>
    <s v=""/>
    <s v=""/>
    <x v="42"/>
    <x v="11"/>
    <n v="0.81733333333333336"/>
  </r>
  <r>
    <x v="100"/>
    <d v="1899-12-30T13:40:00"/>
    <n v="12306"/>
    <n v="24600"/>
    <n v="0.50024390243902439"/>
    <n v="0.9111111111111112"/>
    <s v=""/>
    <s v=""/>
    <x v="43"/>
    <x v="11"/>
    <n v="0.50024390243902439"/>
  </r>
  <r>
    <x v="101"/>
    <d v="1899-12-30T09:50:00"/>
    <n v="9441"/>
    <n v="17700"/>
    <n v="0.53338983050847455"/>
    <n v="0.65555555555555545"/>
    <s v=""/>
    <s v=""/>
    <x v="44"/>
    <x v="11"/>
    <n v="0.53338983050847455"/>
  </r>
  <r>
    <x v="102"/>
    <d v="1899-12-30T06:30:00"/>
    <n v="6338"/>
    <n v="11700"/>
    <n v="0.54170940170940174"/>
    <n v="0.4333333333333334"/>
    <s v=""/>
    <s v=""/>
    <x v="45"/>
    <x v="11"/>
    <n v="0.54170940170940174"/>
  </r>
  <r>
    <x v="103"/>
    <d v="1899-12-30T00:00:00"/>
    <m/>
    <n v="0"/>
    <s v=""/>
    <n v="0"/>
    <s v=""/>
    <s v=""/>
    <x v="0"/>
    <x v="0"/>
    <s v=""/>
  </r>
  <r>
    <x v="104"/>
    <d v="1899-12-30T00:00:00"/>
    <m/>
    <n v="0"/>
    <s v=""/>
    <n v="0"/>
    <s v=""/>
    <s v=""/>
    <x v="0"/>
    <x v="0"/>
    <s v=""/>
  </r>
  <r>
    <x v="105"/>
    <d v="1899-12-30T08:15:00"/>
    <n v="12678"/>
    <n v="14850"/>
    <n v="0.85373737373737368"/>
    <n v="0.55000000000000016"/>
    <s v=""/>
    <s v=""/>
    <x v="46"/>
    <x v="12"/>
    <n v="0.85373737373737368"/>
  </r>
  <r>
    <x v="106"/>
    <d v="1899-12-30T13:55:00"/>
    <n v="19080"/>
    <n v="25050"/>
    <n v="0.76167664670658686"/>
    <n v="0.92777777777777781"/>
    <s v=""/>
    <s v=""/>
    <x v="47"/>
    <x v="12"/>
    <n v="0.76167664670658697"/>
  </r>
  <r>
    <x v="107"/>
    <d v="1899-12-30T12:50:00"/>
    <n v="22942"/>
    <n v="23100"/>
    <n v="0.99316017316017313"/>
    <n v="0.8555555555555554"/>
    <s v=""/>
    <s v=""/>
    <x v="48"/>
    <x v="12"/>
    <n v="0.99316017316017313"/>
  </r>
  <r>
    <x v="108"/>
    <d v="1899-12-30T03:50:00"/>
    <n v="6316"/>
    <n v="6900"/>
    <n v="0.91536231884057973"/>
    <n v="0.25555555555555554"/>
    <s v=""/>
    <s v=""/>
    <x v="49"/>
    <x v="12"/>
    <n v="0.91536231884057973"/>
  </r>
  <r>
    <x v="109"/>
    <d v="1899-12-30T07:15:00"/>
    <n v="9162"/>
    <n v="13050"/>
    <n v="0.70206896551724141"/>
    <n v="0.48333333333333339"/>
    <s v=""/>
    <s v="SI"/>
    <x v="50"/>
    <x v="12"/>
    <n v="0.70206896551724141"/>
  </r>
  <r>
    <x v="110"/>
    <d v="1899-12-30T00:00:00"/>
    <m/>
    <n v="0"/>
    <s v=""/>
    <n v="0"/>
    <s v=""/>
    <s v=""/>
    <x v="0"/>
    <x v="0"/>
    <s v=""/>
  </r>
  <r>
    <x v="111"/>
    <d v="1899-12-30T00:00:00"/>
    <m/>
    <n v="0"/>
    <s v=""/>
    <n v="0"/>
    <s v=""/>
    <s v=""/>
    <x v="0"/>
    <x v="0"/>
    <s v=""/>
  </r>
  <r>
    <x v="112"/>
    <d v="1899-12-30T12:25:00"/>
    <n v="18516"/>
    <n v="22350"/>
    <n v="0.82845637583892617"/>
    <n v="0.82777777777777772"/>
    <s v=""/>
    <s v=""/>
    <x v="51"/>
    <x v="13"/>
    <n v="0.82845637583892617"/>
  </r>
  <r>
    <x v="113"/>
    <d v="1899-12-30T12:05:00"/>
    <n v="17066"/>
    <n v="21750"/>
    <n v="0.78464367816091951"/>
    <n v="0.80555555555555558"/>
    <s v=""/>
    <s v=""/>
    <x v="52"/>
    <x v="13"/>
    <n v="0.78464367816091962"/>
  </r>
  <r>
    <x v="114"/>
    <d v="1899-12-30T07:20:00"/>
    <n v="7256"/>
    <n v="13200"/>
    <n v="0.54969696969696968"/>
    <n v="0.48888888888888893"/>
    <s v=""/>
    <s v=""/>
    <x v="53"/>
    <x v="13"/>
    <n v="0.54969696969696968"/>
  </r>
  <r>
    <x v="115"/>
    <d v="1899-12-30T08:05:00"/>
    <n v="3526"/>
    <n v="14550.000000000002"/>
    <n v="0.24233676975945015"/>
    <n v="0.53888888888888897"/>
    <s v=""/>
    <s v=""/>
    <x v="54"/>
    <x v="13"/>
    <n v="0.24233676975945015"/>
  </r>
  <r>
    <x v="116"/>
    <d v="1899-12-30T12:55:00"/>
    <n v="9816"/>
    <n v="23250"/>
    <n v="0.42219354838709677"/>
    <n v="0.86111111111111127"/>
    <s v=""/>
    <s v=""/>
    <x v="55"/>
    <x v="13"/>
    <n v="0.42219354838709677"/>
  </r>
  <r>
    <x v="117"/>
    <d v="1899-12-30T00:00:00"/>
    <m/>
    <n v="0"/>
    <s v=""/>
    <n v="0"/>
    <s v=""/>
    <s v=""/>
    <x v="0"/>
    <x v="0"/>
    <s v=""/>
  </r>
  <r>
    <x v="118"/>
    <d v="1899-12-30T00:00:00"/>
    <m/>
    <n v="0"/>
    <s v=""/>
    <n v="0"/>
    <s v=""/>
    <s v=""/>
    <x v="0"/>
    <x v="0"/>
    <s v=""/>
  </r>
  <r>
    <x v="119"/>
    <d v="1899-12-30T13:30:00"/>
    <n v="10212"/>
    <n v="24300"/>
    <n v="0.42024691358024691"/>
    <n v="0.90000000000000013"/>
    <s v=""/>
    <s v=""/>
    <x v="56"/>
    <x v="14"/>
    <n v="0.42024691358024691"/>
  </r>
  <r>
    <x v="120"/>
    <d v="1899-12-30T09:55:00"/>
    <n v="8928"/>
    <n v="17850"/>
    <n v="0.50016806722689078"/>
    <n v="0.6611111111111112"/>
    <s v=""/>
    <s v=""/>
    <x v="57"/>
    <x v="14"/>
    <n v="0.50016806722689078"/>
  </r>
  <r>
    <x v="121"/>
    <d v="1899-12-30T06:50:00"/>
    <n v="8556"/>
    <n v="12300"/>
    <n v="0.69560975609756093"/>
    <n v="0.45555555555555555"/>
    <s v=""/>
    <s v=""/>
    <x v="58"/>
    <x v="14"/>
    <n v="0.69560975609756104"/>
  </r>
  <r>
    <x v="122"/>
    <d v="1899-12-30T11:00:00"/>
    <n v="11765"/>
    <n v="19800"/>
    <n v="0.59419191919191916"/>
    <n v="0.7333333333333335"/>
    <s v=""/>
    <s v=""/>
    <x v="59"/>
    <x v="14"/>
    <n v="0.59419191919191916"/>
  </r>
  <r>
    <x v="123"/>
    <d v="1899-12-30T06:55:00"/>
    <n v="12432"/>
    <n v="12450"/>
    <n v="0.99855421686746992"/>
    <n v="0.46111111111111108"/>
    <s v=""/>
    <s v=""/>
    <x v="60"/>
    <x v="14"/>
    <n v="0.99855421686746992"/>
  </r>
  <r>
    <x v="124"/>
    <d v="1899-12-30T00:00:00"/>
    <m/>
    <n v="0"/>
    <s v=""/>
    <n v="0"/>
    <s v=""/>
    <s v=""/>
    <x v="0"/>
    <x v="0"/>
    <s v=""/>
  </r>
  <r>
    <x v="125"/>
    <d v="1899-12-30T00:00:00"/>
    <m/>
    <n v="0"/>
    <s v=""/>
    <n v="0"/>
    <s v=""/>
    <s v=""/>
    <x v="0"/>
    <x v="0"/>
    <s v=""/>
  </r>
  <r>
    <x v="126"/>
    <d v="1899-12-30T00:00:00"/>
    <m/>
    <n v="0"/>
    <s v=""/>
    <n v="0"/>
    <s v=""/>
    <s v=""/>
    <x v="0"/>
    <x v="0"/>
    <s v=""/>
  </r>
  <r>
    <x v="127"/>
    <d v="1899-12-30T00:00:00"/>
    <m/>
    <n v="0"/>
    <s v=""/>
    <n v="0"/>
    <s v=""/>
    <s v="SI"/>
    <x v="28"/>
    <x v="15"/>
    <n v="0"/>
  </r>
  <r>
    <x v="128"/>
    <d v="1899-12-30T03:55:00"/>
    <n v="3100"/>
    <n v="7050"/>
    <n v="0.43971631205673761"/>
    <n v="0.26111111111111107"/>
    <s v=""/>
    <s v=""/>
    <x v="61"/>
    <x v="15"/>
    <n v="0.43971631205673761"/>
  </r>
  <r>
    <x v="129"/>
    <d v="1899-12-30T11:40:00"/>
    <n v="22734"/>
    <n v="21000"/>
    <n v="1.0825714285714285"/>
    <n v="0.7777777777777779"/>
    <s v=""/>
    <s v=""/>
    <x v="62"/>
    <x v="15"/>
    <n v="1.0825714285714285"/>
  </r>
  <r>
    <x v="130"/>
    <d v="1899-12-30T08:20:00"/>
    <n v="21497"/>
    <n v="15000.000000000002"/>
    <n v="1.4331333333333331"/>
    <n v="0.55555555555555558"/>
    <s v=""/>
    <s v=""/>
    <x v="63"/>
    <x v="15"/>
    <n v="1.4331333333333331"/>
  </r>
  <r>
    <x v="131"/>
    <d v="1899-12-30T00:00:00"/>
    <m/>
    <n v="0"/>
    <s v=""/>
    <n v="0"/>
    <s v=""/>
    <s v=""/>
    <x v="0"/>
    <x v="0"/>
    <s v=""/>
  </r>
  <r>
    <x v="132"/>
    <d v="1899-12-30T00:00:00"/>
    <m/>
    <n v="0"/>
    <s v=""/>
    <n v="0"/>
    <s v=""/>
    <s v=""/>
    <x v="0"/>
    <x v="0"/>
    <s v=""/>
  </r>
  <r>
    <x v="133"/>
    <d v="1899-12-30T00:00:00"/>
    <m/>
    <n v="0"/>
    <s v=""/>
    <n v="0"/>
    <s v=""/>
    <s v="SI"/>
    <x v="28"/>
    <x v="16"/>
    <n v="0"/>
  </r>
  <r>
    <x v="134"/>
    <d v="1899-12-30T08:45:00"/>
    <n v="9876"/>
    <n v="15750"/>
    <n v="0.62704761904761908"/>
    <n v="0.58333333333333326"/>
    <s v=""/>
    <s v=""/>
    <x v="64"/>
    <x v="16"/>
    <n v="0.62704761904761908"/>
  </r>
  <r>
    <x v="135"/>
    <d v="1899-12-30T11:40:00"/>
    <n v="20184"/>
    <n v="21000"/>
    <n v="0.96114285714285719"/>
    <n v="0.77777777777777779"/>
    <s v=""/>
    <s v=""/>
    <x v="65"/>
    <x v="16"/>
    <n v="0.96114285714285719"/>
  </r>
  <r>
    <x v="136"/>
    <d v="1899-12-30T11:38:00"/>
    <n v="20484"/>
    <n v="20940"/>
    <n v="0.97822349570200573"/>
    <n v="0.77555555555555544"/>
    <s v=""/>
    <s v=""/>
    <x v="66"/>
    <x v="16"/>
    <n v="0.97822349570200584"/>
  </r>
  <r>
    <x v="137"/>
    <d v="1899-12-30T00:00:00"/>
    <m/>
    <n v="0"/>
    <s v=""/>
    <n v="0"/>
    <s v=""/>
    <s v="SI"/>
    <x v="28"/>
    <x v="16"/>
    <n v="0"/>
  </r>
  <r>
    <x v="138"/>
    <d v="1899-12-30T00:00:00"/>
    <m/>
    <n v="0"/>
    <s v=""/>
    <n v="0"/>
    <s v=""/>
    <s v=""/>
    <x v="0"/>
    <x v="0"/>
    <s v=""/>
  </r>
  <r>
    <x v="139"/>
    <d v="1899-12-30T00:00:00"/>
    <m/>
    <n v="0"/>
    <s v=""/>
    <n v="0"/>
    <s v=""/>
    <s v=""/>
    <x v="0"/>
    <x v="0"/>
    <s v=""/>
  </r>
  <r>
    <x v="140"/>
    <d v="1899-12-30T00:00:00"/>
    <m/>
    <n v="0"/>
    <s v=""/>
    <n v="0"/>
    <s v=""/>
    <s v=""/>
    <x v="0"/>
    <x v="0"/>
    <s v=""/>
  </r>
  <r>
    <x v="141"/>
    <d v="1899-12-30T05:00:00"/>
    <n v="4216"/>
    <n v="9000"/>
    <n v="0.46844444444444444"/>
    <n v="0.3333333333333332"/>
    <s v=""/>
    <s v=""/>
    <x v="67"/>
    <x v="17"/>
    <n v="0.46844444444444444"/>
  </r>
  <r>
    <x v="142"/>
    <d v="1899-12-30T10:55:00"/>
    <n v="17741"/>
    <n v="19650"/>
    <n v="0.9028498727735369"/>
    <n v="0.72777777777777763"/>
    <s v=""/>
    <s v=""/>
    <x v="68"/>
    <x v="17"/>
    <n v="0.9028498727735369"/>
  </r>
  <r>
    <x v="143"/>
    <d v="1899-12-30T00:00:00"/>
    <m/>
    <n v="0"/>
    <s v=""/>
    <n v="0"/>
    <s v=""/>
    <m/>
    <x v="69"/>
    <x v="17"/>
    <n v="0"/>
  </r>
  <r>
    <x v="144"/>
    <d v="1899-12-30T00:00:00"/>
    <m/>
    <n v="0"/>
    <s v=""/>
    <n v="0"/>
    <s v=""/>
    <s v="SI"/>
    <x v="28"/>
    <x v="17"/>
    <n v="0"/>
  </r>
  <r>
    <x v="145"/>
    <d v="1899-12-30T00:00:00"/>
    <n v="0"/>
    <n v="0"/>
    <s v=""/>
    <n v="0"/>
    <s v=""/>
    <s v=""/>
    <x v="0"/>
    <x v="0"/>
    <s v=""/>
  </r>
  <r>
    <x v="146"/>
    <d v="1899-12-30T00:00:00"/>
    <n v="0"/>
    <n v="0"/>
    <s v=""/>
    <n v="0"/>
    <s v=""/>
    <s v=""/>
    <x v="0"/>
    <x v="0"/>
    <s v=""/>
  </r>
  <r>
    <x v="147"/>
    <d v="1899-12-30T00:00:00"/>
    <n v="0"/>
    <n v="0"/>
    <s v=""/>
    <n v="0"/>
    <s v=""/>
    <s v=""/>
    <x v="0"/>
    <x v="0"/>
    <s v=""/>
  </r>
  <r>
    <x v="148"/>
    <d v="1899-12-30T00:00:00"/>
    <n v="0"/>
    <n v="0"/>
    <s v=""/>
    <n v="0"/>
    <s v=""/>
    <s v=""/>
    <x v="0"/>
    <x v="0"/>
    <s v=""/>
  </r>
  <r>
    <x v="149"/>
    <d v="1899-12-30T12:55:00"/>
    <n v="9582"/>
    <n v="23250"/>
    <n v="0.41212903225806452"/>
    <n v="0.86111111111111105"/>
    <s v=""/>
    <s v=""/>
    <x v="70"/>
    <x v="18"/>
    <n v="0.41212903225806452"/>
  </r>
  <r>
    <x v="150"/>
    <d v="1899-12-30T12:30:00"/>
    <n v="10722"/>
    <n v="22500"/>
    <n v="0.47653333333333331"/>
    <n v="0.83333333333333326"/>
    <s v=""/>
    <s v=""/>
    <x v="71"/>
    <x v="18"/>
    <n v="0.47653333333333336"/>
  </r>
  <r>
    <x v="151"/>
    <d v="1899-12-30T11:50:00"/>
    <n v="13198"/>
    <n v="21300"/>
    <n v="0.61962441314553995"/>
    <n v="0.78888888888888875"/>
    <s v=""/>
    <s v=""/>
    <x v="72"/>
    <x v="18"/>
    <n v="0.61962441314553995"/>
  </r>
  <r>
    <x v="152"/>
    <d v="1899-12-30T00:00:00"/>
    <n v="0"/>
    <n v="0"/>
    <s v=""/>
    <n v="0"/>
    <s v=""/>
    <s v=""/>
    <x v="0"/>
    <x v="0"/>
    <s v=""/>
  </r>
  <r>
    <x v="153"/>
    <d v="1899-12-30T00:00:00"/>
    <n v="0"/>
    <n v="0"/>
    <s v=""/>
    <n v="0"/>
    <s v=""/>
    <s v=""/>
    <x v="0"/>
    <x v="0"/>
    <s v=""/>
  </r>
  <r>
    <x v="154"/>
    <d v="1899-12-30T13:15:00"/>
    <n v="7916"/>
    <n v="23850"/>
    <n v="0.33190775681341717"/>
    <n v="0.88333333333333353"/>
    <s v=""/>
    <s v=""/>
    <x v="73"/>
    <x v="19"/>
    <n v="0.33190775681341717"/>
  </r>
  <r>
    <x v="155"/>
    <d v="1899-12-30T08:25:00"/>
    <n v="10712"/>
    <n v="15149.999999999998"/>
    <n v="0.70706270627062717"/>
    <n v="0.56111111111111123"/>
    <s v=""/>
    <s v=""/>
    <x v="74"/>
    <x v="19"/>
    <n v="0.70706270627062717"/>
  </r>
  <r>
    <x v="156"/>
    <d v="1899-12-30T12:15:00"/>
    <n v="11700"/>
    <n v="22050"/>
    <n v="0.53061224489795922"/>
    <n v="0.81666666666666665"/>
    <s v=""/>
    <s v=""/>
    <x v="75"/>
    <x v="19"/>
    <n v="0.53061224489795922"/>
  </r>
  <r>
    <x v="157"/>
    <d v="1899-12-30T12:30:00"/>
    <n v="12984"/>
    <n v="22500"/>
    <n v="0.57706666666666662"/>
    <n v="0.83333333333333326"/>
    <s v=""/>
    <s v=""/>
    <x v="76"/>
    <x v="19"/>
    <n v="0.57706666666666662"/>
  </r>
  <r>
    <x v="158"/>
    <d v="1899-12-30T06:00:00"/>
    <n v="7140"/>
    <n v="10800"/>
    <n v="0.66111111111111109"/>
    <n v="0.4"/>
    <s v=""/>
    <s v=""/>
    <x v="77"/>
    <x v="19"/>
    <n v="0.66111111111111098"/>
  </r>
  <r>
    <x v="159"/>
    <d v="1899-12-30T00:00:00"/>
    <n v="0"/>
    <n v="0"/>
    <s v=""/>
    <n v="0"/>
    <s v=""/>
    <s v=""/>
    <x v="0"/>
    <x v="0"/>
    <s v=""/>
  </r>
  <r>
    <x v="160"/>
    <d v="1899-12-30T00:00:00"/>
    <n v="0"/>
    <n v="0"/>
    <s v=""/>
    <n v="0"/>
    <s v=""/>
    <s v=""/>
    <x v="0"/>
    <x v="0"/>
    <s v=""/>
  </r>
  <r>
    <x v="161"/>
    <d v="1899-12-30T06:45:00"/>
    <n v="10920"/>
    <n v="12150"/>
    <n v="0.89876543209876547"/>
    <n v="0.45"/>
    <s v=""/>
    <s v=""/>
    <x v="78"/>
    <x v="20"/>
    <n v="0.89876543209876547"/>
  </r>
  <r>
    <x v="162"/>
    <d v="1899-12-30T13:35:00"/>
    <n v="20340"/>
    <n v="24450"/>
    <n v="0.83190184049079752"/>
    <n v="0.90555555555555567"/>
    <s v=""/>
    <s v=""/>
    <x v="79"/>
    <x v="20"/>
    <n v="0.83190184049079752"/>
  </r>
  <r>
    <x v="163"/>
    <d v="1899-12-30T13:45:00"/>
    <n v="24462"/>
    <n v="24750"/>
    <n v="0.98836363636363633"/>
    <n v="0.91666666666666674"/>
    <s v=""/>
    <s v=""/>
    <x v="80"/>
    <x v="20"/>
    <n v="0.98836363636363633"/>
  </r>
  <r>
    <x v="164"/>
    <d v="1899-12-30T08:15:00"/>
    <n v="11142"/>
    <n v="14850"/>
    <n v="0.75030303030303025"/>
    <n v="0.55000000000000004"/>
    <s v=""/>
    <s v=""/>
    <x v="81"/>
    <x v="20"/>
    <n v="0.75030303030303025"/>
  </r>
  <r>
    <x v="165"/>
    <d v="1899-12-30T02:40:00"/>
    <n v="5217"/>
    <n v="4800"/>
    <n v="1.086875"/>
    <n v="0.17777777777777776"/>
    <s v=""/>
    <s v=""/>
    <x v="82"/>
    <x v="20"/>
    <n v="1.086875"/>
  </r>
  <r>
    <x v="166"/>
    <d v="1899-12-30T00:00:00"/>
    <n v="0"/>
    <n v="0"/>
    <s v=""/>
    <n v="0"/>
    <s v=""/>
    <s v=""/>
    <x v="0"/>
    <x v="0"/>
    <s v=""/>
  </r>
  <r>
    <x v="167"/>
    <d v="1899-12-30T00:00:00"/>
    <n v="0"/>
    <n v="0"/>
    <s v=""/>
    <n v="0"/>
    <s v=""/>
    <s v=""/>
    <x v="0"/>
    <x v="0"/>
    <s v=""/>
  </r>
  <r>
    <x v="168"/>
    <d v="1899-12-30T02:10:00"/>
    <n v="2946"/>
    <n v="3899.9999999999995"/>
    <n v="0.75538461538461543"/>
    <n v="0.14444444444444446"/>
    <s v=""/>
    <s v=""/>
    <x v="83"/>
    <x v="21"/>
    <n v="0.75538461538461543"/>
  </r>
  <r>
    <x v="169"/>
    <d v="1899-12-30T00:00:00"/>
    <n v="0"/>
    <n v="0"/>
    <s v=""/>
    <n v="0"/>
    <s v=""/>
    <s v="SI"/>
    <x v="28"/>
    <x v="21"/>
    <n v="0"/>
  </r>
  <r>
    <x v="170"/>
    <d v="1899-12-30T08:25:00"/>
    <n v="9791"/>
    <n v="15149.999999999998"/>
    <n v="0.64627062706270633"/>
    <n v="0.56111111111111112"/>
    <s v=""/>
    <s v=""/>
    <x v="84"/>
    <x v="21"/>
    <n v="0.64627062706270633"/>
  </r>
  <r>
    <x v="171"/>
    <d v="1899-12-30T08:15:00"/>
    <n v="15288"/>
    <n v="14850"/>
    <n v="1.0294949494949495"/>
    <n v="0.55000000000000004"/>
    <s v=""/>
    <s v=""/>
    <x v="85"/>
    <x v="21"/>
    <n v="1.0294949494949495"/>
  </r>
  <r>
    <x v="172"/>
    <d v="1899-12-30T00:00:00"/>
    <n v="0"/>
    <n v="0"/>
    <s v=""/>
    <n v="0"/>
    <s v=""/>
    <s v="SI"/>
    <x v="28"/>
    <x v="21"/>
    <n v="0"/>
  </r>
  <r>
    <x v="173"/>
    <d v="1899-12-30T00:00:00"/>
    <n v="0"/>
    <n v="0"/>
    <s v=""/>
    <n v="0"/>
    <s v=""/>
    <s v=""/>
    <x v="0"/>
    <x v="0"/>
    <s v=""/>
  </r>
  <r>
    <x v="174"/>
    <d v="1899-12-30T00:00:00"/>
    <n v="0"/>
    <n v="0"/>
    <s v=""/>
    <n v="0"/>
    <s v=""/>
    <s v=""/>
    <x v="0"/>
    <x v="0"/>
    <s v=""/>
  </r>
  <r>
    <x v="175"/>
    <d v="1899-12-30T11:20:00"/>
    <n v="22545"/>
    <n v="20400"/>
    <n v="1.1051470588235295"/>
    <n v="0.75555555555555565"/>
    <s v=""/>
    <s v=""/>
    <x v="86"/>
    <x v="22"/>
    <n v="1.1051470588235295"/>
  </r>
  <r>
    <x v="176"/>
    <d v="1899-12-30T12:45:00"/>
    <n v="24951"/>
    <n v="22950"/>
    <n v="1.0871895424836602"/>
    <n v="0.85"/>
    <s v=""/>
    <s v=""/>
    <x v="87"/>
    <x v="22"/>
    <n v="1.0871895424836602"/>
  </r>
  <r>
    <x v="177"/>
    <d v="1899-12-30T05:45:00"/>
    <n v="11603"/>
    <n v="10350"/>
    <n v="1.1210628019323672"/>
    <n v="0.38333333333333319"/>
    <s v=""/>
    <s v=""/>
    <x v="88"/>
    <x v="22"/>
    <n v="1.1210628019323672"/>
  </r>
  <r>
    <x v="178"/>
    <d v="1899-12-30T00:00:00"/>
    <n v="0"/>
    <n v="0"/>
    <s v=""/>
    <n v="0"/>
    <s v=""/>
    <s v=""/>
    <x v="0"/>
    <x v="0"/>
    <s v=""/>
  </r>
  <r>
    <x v="179"/>
    <d v="1899-12-30T00:25:00"/>
    <n v="1073"/>
    <n v="750"/>
    <n v="1.4306666666666668"/>
    <n v="2.7777777777777769E-2"/>
    <s v=""/>
    <s v=""/>
    <x v="89"/>
    <x v="22"/>
    <n v="1.4306666666666668"/>
  </r>
  <r>
    <x v="180"/>
    <d v="1899-12-30T00:00:00"/>
    <n v="0"/>
    <n v="0"/>
    <s v=""/>
    <n v="0"/>
    <s v=""/>
    <s v=""/>
    <x v="0"/>
    <x v="0"/>
    <s v=""/>
  </r>
  <r>
    <x v="181"/>
    <d v="1899-12-30T00:00:00"/>
    <n v="0"/>
    <n v="0"/>
    <s v=""/>
    <n v="0"/>
    <s v=""/>
    <s v=""/>
    <x v="0"/>
    <x v="0"/>
    <s v=""/>
  </r>
  <r>
    <x v="182"/>
    <d v="1899-12-30T00:00:00"/>
    <n v="0"/>
    <n v="0"/>
    <s v=""/>
    <n v="0"/>
    <s v=""/>
    <s v=""/>
    <x v="0"/>
    <x v="0"/>
    <s v=""/>
  </r>
  <r>
    <x v="183"/>
    <d v="1899-12-30T00:00:00"/>
    <n v="0"/>
    <n v="0"/>
    <s v=""/>
    <n v="0"/>
    <s v=""/>
    <s v=""/>
    <x v="0"/>
    <x v="0"/>
    <s v=""/>
  </r>
  <r>
    <x v="184"/>
    <d v="1899-12-30T00:00:00"/>
    <n v="0"/>
    <n v="0"/>
    <s v=""/>
    <n v="0"/>
    <s v=""/>
    <s v=""/>
    <x v="0"/>
    <x v="0"/>
    <s v=""/>
  </r>
  <r>
    <x v="185"/>
    <d v="1899-12-30T00:00:00"/>
    <n v="0"/>
    <n v="0"/>
    <s v=""/>
    <n v="0"/>
    <s v=""/>
    <s v=""/>
    <x v="0"/>
    <x v="0"/>
    <s v=""/>
  </r>
  <r>
    <x v="186"/>
    <d v="1899-12-30T00:00:00"/>
    <n v="0"/>
    <n v="0"/>
    <s v=""/>
    <n v="0"/>
    <s v=""/>
    <s v=""/>
    <x v="0"/>
    <x v="0"/>
    <s v=""/>
  </r>
  <r>
    <x v="187"/>
    <d v="1899-12-30T00:00:00"/>
    <n v="0"/>
    <n v="0"/>
    <s v=""/>
    <n v="0"/>
    <s v=""/>
    <s v=""/>
    <x v="0"/>
    <x v="0"/>
    <s v=""/>
  </r>
  <r>
    <x v="188"/>
    <d v="1899-12-30T00:00:00"/>
    <n v="0"/>
    <n v="0"/>
    <s v=""/>
    <n v="0"/>
    <s v=""/>
    <s v=""/>
    <x v="0"/>
    <x v="0"/>
    <s v=""/>
  </r>
  <r>
    <x v="189"/>
    <d v="1899-12-30T00:00:00"/>
    <n v="0"/>
    <n v="0"/>
    <s v=""/>
    <n v="0"/>
    <s v=""/>
    <s v=""/>
    <x v="0"/>
    <x v="0"/>
    <s v=""/>
  </r>
  <r>
    <x v="190"/>
    <d v="1899-12-30T00:00:00"/>
    <n v="0"/>
    <n v="0"/>
    <s v=""/>
    <n v="0"/>
    <s v=""/>
    <s v=""/>
    <x v="0"/>
    <x v="0"/>
    <s v=""/>
  </r>
  <r>
    <x v="191"/>
    <d v="1899-12-30T00:00:00"/>
    <n v="0"/>
    <n v="0"/>
    <s v=""/>
    <n v="0"/>
    <s v=""/>
    <s v=""/>
    <x v="0"/>
    <x v="0"/>
    <s v=""/>
  </r>
  <r>
    <x v="192"/>
    <d v="1899-12-30T00:00:00"/>
    <n v="0"/>
    <n v="0"/>
    <s v=""/>
    <n v="0"/>
    <s v=""/>
    <s v=""/>
    <x v="0"/>
    <x v="0"/>
    <s v=""/>
  </r>
  <r>
    <x v="193"/>
    <d v="1899-12-30T00:00:00"/>
    <n v="0"/>
    <n v="0"/>
    <s v=""/>
    <n v="0"/>
    <s v=""/>
    <s v=""/>
    <x v="0"/>
    <x v="0"/>
    <s v=""/>
  </r>
  <r>
    <x v="194"/>
    <d v="1899-12-30T00:00:00"/>
    <n v="0"/>
    <n v="0"/>
    <s v=""/>
    <n v="0"/>
    <s v=""/>
    <s v=""/>
    <x v="0"/>
    <x v="0"/>
    <s v=""/>
  </r>
  <r>
    <x v="195"/>
    <d v="1899-12-30T00:00:00"/>
    <n v="0"/>
    <n v="0"/>
    <s v=""/>
    <n v="0"/>
    <s v=""/>
    <s v=""/>
    <x v="0"/>
    <x v="0"/>
    <s v=""/>
  </r>
  <r>
    <x v="196"/>
    <d v="1899-12-30T00:00:00"/>
    <n v="0"/>
    <n v="0"/>
    <s v=""/>
    <n v="0"/>
    <s v=""/>
    <s v=""/>
    <x v="0"/>
    <x v="0"/>
    <s v=""/>
  </r>
  <r>
    <x v="197"/>
    <d v="1899-12-30T00:00:00"/>
    <n v="0"/>
    <n v="0"/>
    <s v=""/>
    <n v="0"/>
    <s v=""/>
    <s v=""/>
    <x v="0"/>
    <x v="0"/>
    <s v=""/>
  </r>
  <r>
    <x v="198"/>
    <d v="1899-12-30T00:00:00"/>
    <n v="0"/>
    <n v="0"/>
    <s v=""/>
    <n v="0"/>
    <s v=""/>
    <s v=""/>
    <x v="0"/>
    <x v="0"/>
    <s v=""/>
  </r>
  <r>
    <x v="199"/>
    <d v="1899-12-30T00:00:00"/>
    <n v="0"/>
    <n v="0"/>
    <s v=""/>
    <n v="0"/>
    <s v=""/>
    <s v=""/>
    <x v="0"/>
    <x v="0"/>
    <s v=""/>
  </r>
  <r>
    <x v="200"/>
    <d v="1899-12-30T00:00:00"/>
    <n v="0"/>
    <n v="0"/>
    <s v=""/>
    <n v="0"/>
    <s v=""/>
    <s v=""/>
    <x v="0"/>
    <x v="0"/>
    <s v=""/>
  </r>
  <r>
    <x v="201"/>
    <d v="1899-12-30T00:00:00"/>
    <n v="0"/>
    <n v="0"/>
    <s v=""/>
    <n v="0"/>
    <s v=""/>
    <s v=""/>
    <x v="0"/>
    <x v="0"/>
    <s v=""/>
  </r>
  <r>
    <x v="202"/>
    <d v="1899-12-30T00:00:00"/>
    <n v="0"/>
    <n v="0"/>
    <s v=""/>
    <n v="0"/>
    <s v=""/>
    <s v=""/>
    <x v="0"/>
    <x v="0"/>
    <s v=""/>
  </r>
  <r>
    <x v="203"/>
    <d v="1899-12-30T00:00:00"/>
    <n v="0"/>
    <n v="0"/>
    <s v=""/>
    <n v="0"/>
    <s v=""/>
    <s v=""/>
    <x v="0"/>
    <x v="0"/>
    <s v=""/>
  </r>
  <r>
    <x v="204"/>
    <d v="1899-12-30T00:00:00"/>
    <n v="0"/>
    <n v="0"/>
    <s v=""/>
    <n v="0"/>
    <s v=""/>
    <s v=""/>
    <x v="0"/>
    <x v="0"/>
    <s v=""/>
  </r>
  <r>
    <x v="205"/>
    <d v="1899-12-30T00:00:00"/>
    <n v="0"/>
    <n v="0"/>
    <s v=""/>
    <n v="0"/>
    <s v=""/>
    <s v=""/>
    <x v="0"/>
    <x v="0"/>
    <s v=""/>
  </r>
  <r>
    <x v="206"/>
    <d v="1899-12-30T00:00:00"/>
    <n v="0"/>
    <n v="0"/>
    <s v=""/>
    <n v="0"/>
    <s v=""/>
    <s v=""/>
    <x v="0"/>
    <x v="0"/>
    <s v=""/>
  </r>
  <r>
    <x v="207"/>
    <d v="1899-12-30T00:00:00"/>
    <n v="0"/>
    <n v="0"/>
    <s v=""/>
    <n v="0"/>
    <s v=""/>
    <s v=""/>
    <x v="0"/>
    <x v="0"/>
    <s v=""/>
  </r>
  <r>
    <x v="208"/>
    <d v="1899-12-30T00:00:00"/>
    <n v="0"/>
    <n v="0"/>
    <s v=""/>
    <n v="0"/>
    <s v=""/>
    <s v=""/>
    <x v="0"/>
    <x v="0"/>
    <s v=""/>
  </r>
  <r>
    <x v="209"/>
    <d v="1899-12-30T00:00:00"/>
    <n v="0"/>
    <n v="0"/>
    <s v=""/>
    <n v="0"/>
    <s v=""/>
    <s v=""/>
    <x v="0"/>
    <x v="0"/>
    <s v=""/>
  </r>
  <r>
    <x v="210"/>
    <d v="1899-12-30T00:00:00"/>
    <n v="0"/>
    <n v="0"/>
    <s v=""/>
    <n v="0"/>
    <s v=""/>
    <s v=""/>
    <x v="0"/>
    <x v="0"/>
    <s v=""/>
  </r>
  <r>
    <x v="211"/>
    <d v="1899-12-30T00:00:00"/>
    <n v="0"/>
    <n v="0"/>
    <s v=""/>
    <n v="0"/>
    <s v=""/>
    <s v=""/>
    <x v="0"/>
    <x v="0"/>
    <s v=""/>
  </r>
  <r>
    <x v="212"/>
    <d v="1899-12-30T00:00:00"/>
    <n v="0"/>
    <n v="0"/>
    <s v=""/>
    <n v="0"/>
    <s v=""/>
    <s v=""/>
    <x v="0"/>
    <x v="0"/>
    <s v=""/>
  </r>
  <r>
    <x v="213"/>
    <d v="1899-12-30T00:00:00"/>
    <n v="0"/>
    <n v="0"/>
    <s v=""/>
    <n v="0"/>
    <s v=""/>
    <s v=""/>
    <x v="0"/>
    <x v="0"/>
    <s v=""/>
  </r>
  <r>
    <x v="214"/>
    <d v="1899-12-30T00:00:00"/>
    <n v="0"/>
    <n v="0"/>
    <s v=""/>
    <n v="0"/>
    <s v=""/>
    <s v=""/>
    <x v="0"/>
    <x v="0"/>
    <s v=""/>
  </r>
  <r>
    <x v="215"/>
    <d v="1899-12-30T00:00:00"/>
    <n v="0"/>
    <n v="0"/>
    <s v=""/>
    <n v="0"/>
    <s v=""/>
    <s v=""/>
    <x v="0"/>
    <x v="0"/>
    <s v=""/>
  </r>
  <r>
    <x v="216"/>
    <d v="1899-12-30T00:00:00"/>
    <n v="0"/>
    <n v="0"/>
    <s v=""/>
    <n v="0"/>
    <s v=""/>
    <s v=""/>
    <x v="0"/>
    <x v="0"/>
    <s v=""/>
  </r>
  <r>
    <x v="217"/>
    <d v="1899-12-30T00:00:00"/>
    <n v="0"/>
    <n v="0"/>
    <s v=""/>
    <n v="0"/>
    <s v=""/>
    <s v=""/>
    <x v="0"/>
    <x v="0"/>
    <s v=""/>
  </r>
  <r>
    <x v="218"/>
    <d v="1899-12-30T00:00:00"/>
    <n v="0"/>
    <n v="0"/>
    <s v=""/>
    <n v="0"/>
    <s v=""/>
    <s v=""/>
    <x v="0"/>
    <x v="0"/>
    <s v=""/>
  </r>
  <r>
    <x v="219"/>
    <d v="1899-12-30T00:00:00"/>
    <n v="0"/>
    <n v="0"/>
    <s v=""/>
    <n v="0"/>
    <s v=""/>
    <s v=""/>
    <x v="0"/>
    <x v="0"/>
    <s v=""/>
  </r>
  <r>
    <x v="220"/>
    <d v="1899-12-30T00:00:00"/>
    <n v="0"/>
    <n v="0"/>
    <s v=""/>
    <n v="0"/>
    <s v=""/>
    <s v=""/>
    <x v="0"/>
    <x v="0"/>
    <s v=""/>
  </r>
  <r>
    <x v="221"/>
    <d v="1899-12-30T00:00:00"/>
    <n v="0"/>
    <n v="0"/>
    <s v=""/>
    <n v="0"/>
    <s v=""/>
    <s v=""/>
    <x v="0"/>
    <x v="0"/>
    <s v=""/>
  </r>
  <r>
    <x v="222"/>
    <d v="1899-12-30T00:00:00"/>
    <n v="0"/>
    <n v="0"/>
    <s v=""/>
    <n v="0"/>
    <s v=""/>
    <s v=""/>
    <x v="0"/>
    <x v="0"/>
    <s v=""/>
  </r>
  <r>
    <x v="223"/>
    <d v="1899-12-30T00:00:00"/>
    <n v="0"/>
    <n v="0"/>
    <s v=""/>
    <n v="0"/>
    <s v=""/>
    <s v=""/>
    <x v="0"/>
    <x v="0"/>
    <s v=""/>
  </r>
  <r>
    <x v="224"/>
    <d v="1899-12-30T00:00:00"/>
    <n v="0"/>
    <n v="0"/>
    <s v=""/>
    <n v="0"/>
    <s v=""/>
    <s v=""/>
    <x v="0"/>
    <x v="0"/>
    <s v=""/>
  </r>
  <r>
    <x v="225"/>
    <d v="1899-12-30T00:00:00"/>
    <n v="0"/>
    <n v="0"/>
    <s v=""/>
    <n v="0"/>
    <s v=""/>
    <s v=""/>
    <x v="0"/>
    <x v="0"/>
    <s v=""/>
  </r>
  <r>
    <x v="226"/>
    <d v="1899-12-30T00:00:00"/>
    <n v="0"/>
    <n v="0"/>
    <s v=""/>
    <n v="0"/>
    <s v=""/>
    <s v=""/>
    <x v="0"/>
    <x v="0"/>
    <s v=""/>
  </r>
  <r>
    <x v="227"/>
    <d v="1899-12-30T00:00:00"/>
    <n v="0"/>
    <n v="0"/>
    <s v=""/>
    <n v="0"/>
    <s v=""/>
    <s v=""/>
    <x v="0"/>
    <x v="0"/>
    <s v=""/>
  </r>
  <r>
    <x v="228"/>
    <d v="1899-12-30T00:00:00"/>
    <n v="0"/>
    <n v="0"/>
    <s v=""/>
    <n v="0"/>
    <s v=""/>
    <s v=""/>
    <x v="0"/>
    <x v="0"/>
    <s v=""/>
  </r>
  <r>
    <x v="229"/>
    <d v="1899-12-30T00:00:00"/>
    <n v="0"/>
    <n v="0"/>
    <s v=""/>
    <n v="0"/>
    <s v=""/>
    <s v=""/>
    <x v="0"/>
    <x v="0"/>
    <s v=""/>
  </r>
  <r>
    <x v="230"/>
    <d v="1899-12-30T00:00:00"/>
    <n v="0"/>
    <n v="0"/>
    <s v=""/>
    <n v="0"/>
    <s v=""/>
    <s v=""/>
    <x v="0"/>
    <x v="0"/>
    <s v=""/>
  </r>
  <r>
    <x v="231"/>
    <d v="1899-12-30T00:00:00"/>
    <n v="0"/>
    <n v="0"/>
    <s v=""/>
    <n v="0"/>
    <s v=""/>
    <s v=""/>
    <x v="0"/>
    <x v="0"/>
    <s v=""/>
  </r>
  <r>
    <x v="232"/>
    <d v="1899-12-30T00:00:00"/>
    <n v="0"/>
    <n v="0"/>
    <s v=""/>
    <n v="0"/>
    <s v=""/>
    <s v=""/>
    <x v="0"/>
    <x v="0"/>
    <s v=""/>
  </r>
  <r>
    <x v="233"/>
    <d v="1899-12-30T00:00:00"/>
    <n v="0"/>
    <n v="0"/>
    <s v=""/>
    <n v="0"/>
    <s v=""/>
    <s v=""/>
    <x v="0"/>
    <x v="0"/>
    <s v=""/>
  </r>
  <r>
    <x v="234"/>
    <d v="1899-12-30T00:00:00"/>
    <n v="0"/>
    <n v="0"/>
    <s v=""/>
    <n v="0"/>
    <s v=""/>
    <s v=""/>
    <x v="0"/>
    <x v="0"/>
    <s v=""/>
  </r>
  <r>
    <x v="235"/>
    <d v="1899-12-30T00:00:00"/>
    <n v="0"/>
    <n v="0"/>
    <s v=""/>
    <n v="0"/>
    <s v=""/>
    <s v=""/>
    <x v="0"/>
    <x v="0"/>
    <s v=""/>
  </r>
  <r>
    <x v="236"/>
    <d v="1899-12-30T00:00:00"/>
    <n v="0"/>
    <n v="0"/>
    <s v=""/>
    <n v="0"/>
    <s v=""/>
    <s v=""/>
    <x v="0"/>
    <x v="0"/>
    <s v=""/>
  </r>
  <r>
    <x v="237"/>
    <d v="1899-12-30T00:00:00"/>
    <n v="0"/>
    <n v="0"/>
    <s v=""/>
    <n v="0"/>
    <s v=""/>
    <s v=""/>
    <x v="0"/>
    <x v="0"/>
    <s v=""/>
  </r>
  <r>
    <x v="238"/>
    <d v="1899-12-30T00:00:00"/>
    <n v="0"/>
    <n v="0"/>
    <s v=""/>
    <n v="0"/>
    <s v=""/>
    <s v=""/>
    <x v="0"/>
    <x v="0"/>
    <s v=""/>
  </r>
  <r>
    <x v="239"/>
    <d v="1899-12-30T00:00:00"/>
    <n v="0"/>
    <n v="0"/>
    <s v=""/>
    <n v="0"/>
    <s v=""/>
    <s v=""/>
    <x v="0"/>
    <x v="0"/>
    <s v=""/>
  </r>
  <r>
    <x v="240"/>
    <d v="1899-12-30T00:00:00"/>
    <n v="0"/>
    <n v="0"/>
    <s v=""/>
    <n v="0"/>
    <s v=""/>
    <s v=""/>
    <x v="0"/>
    <x v="0"/>
    <s v=""/>
  </r>
  <r>
    <x v="241"/>
    <d v="1899-12-30T00:00:00"/>
    <n v="0"/>
    <n v="0"/>
    <s v=""/>
    <n v="0"/>
    <s v=""/>
    <s v=""/>
    <x v="0"/>
    <x v="0"/>
    <s v=""/>
  </r>
  <r>
    <x v="242"/>
    <d v="1899-12-30T00:00:00"/>
    <n v="0"/>
    <n v="0"/>
    <s v=""/>
    <n v="0"/>
    <s v=""/>
    <s v=""/>
    <x v="0"/>
    <x v="0"/>
    <s v=""/>
  </r>
  <r>
    <x v="243"/>
    <d v="1899-12-30T00:00:00"/>
    <n v="0"/>
    <n v="0"/>
    <s v=""/>
    <n v="0"/>
    <s v=""/>
    <s v=""/>
    <x v="0"/>
    <x v="0"/>
    <s v=""/>
  </r>
  <r>
    <x v="244"/>
    <d v="1899-12-30T00:00:00"/>
    <n v="0"/>
    <n v="0"/>
    <s v=""/>
    <n v="0"/>
    <s v=""/>
    <s v=""/>
    <x v="0"/>
    <x v="0"/>
    <s v=""/>
  </r>
  <r>
    <x v="245"/>
    <d v="1899-12-30T00:00:00"/>
    <n v="0"/>
    <n v="0"/>
    <s v=""/>
    <n v="0"/>
    <s v=""/>
    <s v=""/>
    <x v="0"/>
    <x v="0"/>
    <s v=""/>
  </r>
  <r>
    <x v="246"/>
    <d v="1899-12-30T00:00:00"/>
    <n v="0"/>
    <n v="0"/>
    <s v=""/>
    <n v="0"/>
    <s v=""/>
    <s v=""/>
    <x v="0"/>
    <x v="0"/>
    <s v=""/>
  </r>
  <r>
    <x v="247"/>
    <d v="1899-12-30T00:00:00"/>
    <n v="0"/>
    <n v="0"/>
    <s v=""/>
    <n v="0"/>
    <s v=""/>
    <s v=""/>
    <x v="0"/>
    <x v="0"/>
    <s v=""/>
  </r>
  <r>
    <x v="248"/>
    <d v="1899-12-30T00:00:00"/>
    <n v="0"/>
    <n v="0"/>
    <s v=""/>
    <n v="0"/>
    <s v=""/>
    <s v=""/>
    <x v="0"/>
    <x v="0"/>
    <s v=""/>
  </r>
  <r>
    <x v="249"/>
    <d v="1899-12-30T00:00:00"/>
    <n v="0"/>
    <n v="0"/>
    <s v=""/>
    <n v="0"/>
    <s v=""/>
    <s v=""/>
    <x v="0"/>
    <x v="0"/>
    <s v=""/>
  </r>
  <r>
    <x v="250"/>
    <d v="1899-12-30T00:00:00"/>
    <n v="0"/>
    <n v="0"/>
    <s v=""/>
    <n v="0"/>
    <s v=""/>
    <s v=""/>
    <x v="0"/>
    <x v="0"/>
    <s v=""/>
  </r>
  <r>
    <x v="251"/>
    <d v="1899-12-30T00:00:00"/>
    <n v="0"/>
    <n v="0"/>
    <s v=""/>
    <n v="0"/>
    <s v=""/>
    <s v=""/>
    <x v="0"/>
    <x v="0"/>
    <s v=""/>
  </r>
  <r>
    <x v="252"/>
    <d v="1899-12-30T00:00:00"/>
    <n v="0"/>
    <n v="0"/>
    <s v=""/>
    <n v="0"/>
    <s v=""/>
    <s v=""/>
    <x v="0"/>
    <x v="0"/>
    <s v=""/>
  </r>
  <r>
    <x v="253"/>
    <d v="1899-12-30T00:00:00"/>
    <n v="0"/>
    <n v="0"/>
    <s v=""/>
    <n v="0"/>
    <s v=""/>
    <s v=""/>
    <x v="0"/>
    <x v="0"/>
    <s v=""/>
  </r>
  <r>
    <x v="254"/>
    <d v="1899-12-30T00:00:00"/>
    <n v="0"/>
    <n v="0"/>
    <s v=""/>
    <n v="0"/>
    <s v=""/>
    <s v=""/>
    <x v="0"/>
    <x v="0"/>
    <s v=""/>
  </r>
  <r>
    <x v="255"/>
    <d v="1899-12-30T00:00:00"/>
    <n v="0"/>
    <n v="0"/>
    <s v=""/>
    <n v="0"/>
    <s v=""/>
    <s v=""/>
    <x v="0"/>
    <x v="0"/>
    <s v=""/>
  </r>
  <r>
    <x v="256"/>
    <d v="1899-12-30T00:00:00"/>
    <n v="0"/>
    <n v="0"/>
    <s v=""/>
    <n v="0"/>
    <s v=""/>
    <s v=""/>
    <x v="0"/>
    <x v="0"/>
    <s v=""/>
  </r>
  <r>
    <x v="257"/>
    <d v="1899-12-30T00:00:00"/>
    <n v="0"/>
    <n v="0"/>
    <s v=""/>
    <n v="0"/>
    <s v=""/>
    <s v=""/>
    <x v="0"/>
    <x v="0"/>
    <s v=""/>
  </r>
  <r>
    <x v="258"/>
    <d v="1899-12-30T00:00:00"/>
    <n v="0"/>
    <n v="0"/>
    <s v=""/>
    <n v="0"/>
    <s v=""/>
    <s v=""/>
    <x v="0"/>
    <x v="0"/>
    <s v=""/>
  </r>
  <r>
    <x v="259"/>
    <d v="1899-12-30T00:00:00"/>
    <n v="0"/>
    <n v="0"/>
    <s v=""/>
    <n v="0"/>
    <s v=""/>
    <s v=""/>
    <x v="0"/>
    <x v="0"/>
    <s v=""/>
  </r>
  <r>
    <x v="260"/>
    <d v="1899-12-30T00:00:00"/>
    <n v="0"/>
    <n v="0"/>
    <s v=""/>
    <n v="0"/>
    <s v=""/>
    <s v=""/>
    <x v="0"/>
    <x v="0"/>
    <s v=""/>
  </r>
  <r>
    <x v="261"/>
    <d v="1899-12-30T00:00:00"/>
    <n v="0"/>
    <n v="0"/>
    <s v=""/>
    <n v="0"/>
    <s v=""/>
    <s v=""/>
    <x v="0"/>
    <x v="0"/>
    <s v=""/>
  </r>
  <r>
    <x v="262"/>
    <d v="1899-12-30T00:00:00"/>
    <n v="0"/>
    <n v="0"/>
    <s v=""/>
    <n v="0"/>
    <s v=""/>
    <s v=""/>
    <x v="0"/>
    <x v="0"/>
    <s v=""/>
  </r>
  <r>
    <x v="263"/>
    <d v="1899-12-30T00:00:00"/>
    <n v="0"/>
    <n v="0"/>
    <s v=""/>
    <n v="0"/>
    <s v=""/>
    <s v=""/>
    <x v="0"/>
    <x v="0"/>
    <s v=""/>
  </r>
  <r>
    <x v="264"/>
    <d v="1899-12-30T00:00:00"/>
    <n v="0"/>
    <n v="0"/>
    <s v=""/>
    <n v="0"/>
    <s v=""/>
    <s v=""/>
    <x v="0"/>
    <x v="0"/>
    <s v=""/>
  </r>
  <r>
    <x v="265"/>
    <d v="1899-12-30T00:00:00"/>
    <n v="0"/>
    <n v="0"/>
    <s v=""/>
    <n v="0"/>
    <s v=""/>
    <s v=""/>
    <x v="0"/>
    <x v="0"/>
    <s v=""/>
  </r>
  <r>
    <x v="266"/>
    <d v="1899-12-30T00:00:00"/>
    <n v="0"/>
    <n v="0"/>
    <s v=""/>
    <n v="0"/>
    <s v=""/>
    <s v=""/>
    <x v="0"/>
    <x v="0"/>
    <s v=""/>
  </r>
  <r>
    <x v="267"/>
    <d v="1899-12-30T00:00:00"/>
    <n v="0"/>
    <n v="0"/>
    <s v=""/>
    <n v="0"/>
    <s v=""/>
    <s v=""/>
    <x v="0"/>
    <x v="0"/>
    <s v=""/>
  </r>
  <r>
    <x v="268"/>
    <d v="1899-12-30T00:00:00"/>
    <n v="0"/>
    <n v="0"/>
    <s v=""/>
    <n v="0"/>
    <s v=""/>
    <s v=""/>
    <x v="0"/>
    <x v="0"/>
    <s v=""/>
  </r>
  <r>
    <x v="269"/>
    <d v="1899-12-30T00:00:00"/>
    <n v="0"/>
    <n v="0"/>
    <s v=""/>
    <n v="0"/>
    <s v=""/>
    <s v=""/>
    <x v="0"/>
    <x v="0"/>
    <s v=""/>
  </r>
  <r>
    <x v="270"/>
    <d v="1899-12-30T00:00:00"/>
    <n v="0"/>
    <n v="0"/>
    <s v=""/>
    <n v="0"/>
    <s v=""/>
    <s v=""/>
    <x v="0"/>
    <x v="0"/>
    <s v=""/>
  </r>
  <r>
    <x v="271"/>
    <d v="1899-12-30T00:00:00"/>
    <n v="0"/>
    <n v="0"/>
    <s v=""/>
    <n v="0"/>
    <s v=""/>
    <s v=""/>
    <x v="0"/>
    <x v="0"/>
    <s v=""/>
  </r>
  <r>
    <x v="272"/>
    <d v="1899-12-30T00:00:00"/>
    <n v="0"/>
    <n v="0"/>
    <s v=""/>
    <n v="0"/>
    <s v=""/>
    <s v=""/>
    <x v="0"/>
    <x v="0"/>
    <s v=""/>
  </r>
  <r>
    <x v="273"/>
    <d v="1899-12-30T00:00:00"/>
    <n v="0"/>
    <n v="0"/>
    <s v=""/>
    <n v="0"/>
    <s v=""/>
    <s v=""/>
    <x v="0"/>
    <x v="0"/>
    <s v=""/>
  </r>
  <r>
    <x v="274"/>
    <d v="1899-12-30T00:00:00"/>
    <n v="0"/>
    <n v="0"/>
    <s v=""/>
    <n v="0"/>
    <s v=""/>
    <s v=""/>
    <x v="0"/>
    <x v="0"/>
    <s v=""/>
  </r>
  <r>
    <x v="275"/>
    <d v="1899-12-30T00:00:00"/>
    <n v="0"/>
    <n v="0"/>
    <s v=""/>
    <n v="0"/>
    <s v=""/>
    <s v=""/>
    <x v="0"/>
    <x v="0"/>
    <s v=""/>
  </r>
  <r>
    <x v="276"/>
    <d v="1899-12-30T00:00:00"/>
    <n v="0"/>
    <n v="0"/>
    <s v=""/>
    <n v="0"/>
    <s v=""/>
    <s v=""/>
    <x v="0"/>
    <x v="0"/>
    <s v=""/>
  </r>
  <r>
    <x v="277"/>
    <d v="1899-12-30T00:00:00"/>
    <n v="0"/>
    <n v="0"/>
    <s v=""/>
    <n v="0"/>
    <s v=""/>
    <s v=""/>
    <x v="0"/>
    <x v="0"/>
    <s v=""/>
  </r>
  <r>
    <x v="278"/>
    <d v="1899-12-30T00:00:00"/>
    <n v="0"/>
    <n v="0"/>
    <s v=""/>
    <n v="0"/>
    <s v=""/>
    <s v=""/>
    <x v="0"/>
    <x v="0"/>
    <s v=""/>
  </r>
  <r>
    <x v="279"/>
    <d v="1899-12-30T00:00:00"/>
    <n v="0"/>
    <n v="0"/>
    <s v=""/>
    <n v="0"/>
    <s v=""/>
    <s v=""/>
    <x v="0"/>
    <x v="0"/>
    <s v=""/>
  </r>
  <r>
    <x v="280"/>
    <d v="1899-12-30T00:00:00"/>
    <n v="0"/>
    <n v="0"/>
    <s v=""/>
    <n v="0"/>
    <s v=""/>
    <s v=""/>
    <x v="0"/>
    <x v="0"/>
    <s v=""/>
  </r>
  <r>
    <x v="281"/>
    <d v="1899-12-30T00:00:00"/>
    <n v="0"/>
    <n v="0"/>
    <s v=""/>
    <n v="0"/>
    <s v=""/>
    <s v=""/>
    <x v="0"/>
    <x v="0"/>
    <s v=""/>
  </r>
  <r>
    <x v="282"/>
    <d v="1899-12-30T00:00:00"/>
    <n v="0"/>
    <n v="0"/>
    <s v=""/>
    <n v="0"/>
    <s v=""/>
    <s v=""/>
    <x v="0"/>
    <x v="0"/>
    <s v=""/>
  </r>
  <r>
    <x v="283"/>
    <d v="1899-12-30T00:00:00"/>
    <n v="0"/>
    <n v="0"/>
    <s v=""/>
    <n v="0"/>
    <s v=""/>
    <s v=""/>
    <x v="0"/>
    <x v="0"/>
    <s v=""/>
  </r>
  <r>
    <x v="284"/>
    <d v="1899-12-30T00:00:00"/>
    <n v="0"/>
    <n v="0"/>
    <s v=""/>
    <n v="0"/>
    <s v=""/>
    <s v=""/>
    <x v="0"/>
    <x v="0"/>
    <s v=""/>
  </r>
  <r>
    <x v="285"/>
    <d v="1899-12-30T00:00:00"/>
    <n v="0"/>
    <n v="0"/>
    <s v=""/>
    <n v="0"/>
    <s v=""/>
    <s v=""/>
    <x v="0"/>
    <x v="0"/>
    <s v=""/>
  </r>
  <r>
    <x v="286"/>
    <d v="1899-12-30T00:00:00"/>
    <n v="0"/>
    <n v="0"/>
    <s v=""/>
    <n v="0"/>
    <s v=""/>
    <s v=""/>
    <x v="0"/>
    <x v="0"/>
    <s v=""/>
  </r>
  <r>
    <x v="287"/>
    <d v="1899-12-30T00:00:00"/>
    <n v="0"/>
    <n v="0"/>
    <s v=""/>
    <n v="0"/>
    <s v=""/>
    <s v=""/>
    <x v="0"/>
    <x v="0"/>
    <s v=""/>
  </r>
  <r>
    <x v="288"/>
    <d v="1899-12-30T00:00:00"/>
    <n v="0"/>
    <n v="0"/>
    <s v=""/>
    <n v="0"/>
    <s v=""/>
    <s v=""/>
    <x v="0"/>
    <x v="0"/>
    <s v=""/>
  </r>
  <r>
    <x v="289"/>
    <d v="1899-12-30T00:00:00"/>
    <n v="0"/>
    <n v="0"/>
    <s v=""/>
    <n v="0"/>
    <s v=""/>
    <s v=""/>
    <x v="0"/>
    <x v="0"/>
    <s v=""/>
  </r>
  <r>
    <x v="290"/>
    <d v="1899-12-30T00:00:00"/>
    <n v="0"/>
    <n v="0"/>
    <s v=""/>
    <n v="0"/>
    <s v=""/>
    <s v=""/>
    <x v="0"/>
    <x v="0"/>
    <s v=""/>
  </r>
  <r>
    <x v="291"/>
    <d v="1899-12-30T00:00:00"/>
    <n v="0"/>
    <n v="0"/>
    <s v=""/>
    <n v="0"/>
    <s v=""/>
    <s v=""/>
    <x v="0"/>
    <x v="0"/>
    <s v=""/>
  </r>
  <r>
    <x v="292"/>
    <d v="1899-12-30T00:00:00"/>
    <n v="0"/>
    <n v="0"/>
    <s v=""/>
    <n v="0"/>
    <s v=""/>
    <s v=""/>
    <x v="0"/>
    <x v="0"/>
    <s v=""/>
  </r>
  <r>
    <x v="293"/>
    <d v="1899-12-30T00:00:00"/>
    <n v="0"/>
    <n v="0"/>
    <s v=""/>
    <n v="0"/>
    <s v=""/>
    <s v=""/>
    <x v="0"/>
    <x v="0"/>
    <s v=""/>
  </r>
  <r>
    <x v="294"/>
    <d v="1899-12-30T00:00:00"/>
    <n v="0"/>
    <n v="0"/>
    <s v=""/>
    <n v="0"/>
    <s v=""/>
    <s v=""/>
    <x v="0"/>
    <x v="0"/>
    <s v=""/>
  </r>
  <r>
    <x v="295"/>
    <d v="1899-12-30T00:00:00"/>
    <n v="0"/>
    <n v="0"/>
    <s v=""/>
    <n v="0"/>
    <s v=""/>
    <s v=""/>
    <x v="0"/>
    <x v="0"/>
    <s v=""/>
  </r>
  <r>
    <x v="296"/>
    <d v="1899-12-30T00:00:00"/>
    <n v="0"/>
    <n v="0"/>
    <s v=""/>
    <n v="0"/>
    <s v=""/>
    <s v=""/>
    <x v="0"/>
    <x v="0"/>
    <s v=""/>
  </r>
  <r>
    <x v="297"/>
    <d v="1899-12-30T00:00:00"/>
    <n v="0"/>
    <n v="0"/>
    <s v=""/>
    <n v="0"/>
    <s v=""/>
    <s v=""/>
    <x v="0"/>
    <x v="0"/>
    <s v=""/>
  </r>
  <r>
    <x v="298"/>
    <d v="1899-12-30T00:00:00"/>
    <n v="0"/>
    <n v="0"/>
    <s v=""/>
    <n v="0"/>
    <s v=""/>
    <s v=""/>
    <x v="0"/>
    <x v="0"/>
    <s v=""/>
  </r>
  <r>
    <x v="299"/>
    <d v="1899-12-30T00:00:00"/>
    <n v="0"/>
    <n v="0"/>
    <s v=""/>
    <n v="0"/>
    <s v=""/>
    <s v=""/>
    <x v="0"/>
    <x v="0"/>
    <s v=""/>
  </r>
  <r>
    <x v="300"/>
    <d v="1899-12-30T00:00:00"/>
    <n v="0"/>
    <n v="0"/>
    <s v=""/>
    <n v="0"/>
    <s v=""/>
    <s v=""/>
    <x v="0"/>
    <x v="0"/>
    <s v=""/>
  </r>
  <r>
    <x v="301"/>
    <d v="1899-12-30T00:00:00"/>
    <n v="0"/>
    <n v="0"/>
    <s v=""/>
    <n v="0"/>
    <s v=""/>
    <s v=""/>
    <x v="0"/>
    <x v="0"/>
    <s v=""/>
  </r>
  <r>
    <x v="302"/>
    <d v="1899-12-30T00:00:00"/>
    <n v="0"/>
    <n v="0"/>
    <s v=""/>
    <n v="0"/>
    <s v=""/>
    <s v=""/>
    <x v="0"/>
    <x v="0"/>
    <s v=""/>
  </r>
  <r>
    <x v="303"/>
    <d v="1899-12-30T00:00:00"/>
    <n v="0"/>
    <n v="0"/>
    <s v=""/>
    <n v="0"/>
    <s v=""/>
    <s v=""/>
    <x v="0"/>
    <x v="0"/>
    <s v=""/>
  </r>
  <r>
    <x v="304"/>
    <d v="1899-12-30T00:00:00"/>
    <n v="0"/>
    <n v="0"/>
    <s v=""/>
    <n v="0"/>
    <s v=""/>
    <s v=""/>
    <x v="0"/>
    <x v="0"/>
    <s v=""/>
  </r>
  <r>
    <x v="305"/>
    <d v="1899-12-30T00:00:00"/>
    <n v="0"/>
    <n v="0"/>
    <s v=""/>
    <n v="0"/>
    <s v=""/>
    <s v=""/>
    <x v="0"/>
    <x v="0"/>
    <s v=""/>
  </r>
  <r>
    <x v="306"/>
    <d v="1899-12-30T00:00:00"/>
    <n v="0"/>
    <n v="0"/>
    <s v=""/>
    <n v="0"/>
    <s v=""/>
    <s v=""/>
    <x v="0"/>
    <x v="0"/>
    <s v=""/>
  </r>
  <r>
    <x v="307"/>
    <d v="1899-12-30T00:00:00"/>
    <n v="0"/>
    <n v="0"/>
    <s v=""/>
    <n v="0"/>
    <s v=""/>
    <s v=""/>
    <x v="0"/>
    <x v="0"/>
    <s v=""/>
  </r>
  <r>
    <x v="308"/>
    <d v="1899-12-30T00:00:00"/>
    <n v="0"/>
    <n v="0"/>
    <s v=""/>
    <n v="0"/>
    <s v=""/>
    <s v=""/>
    <x v="0"/>
    <x v="0"/>
    <s v=""/>
  </r>
  <r>
    <x v="309"/>
    <d v="1899-12-30T00:00:00"/>
    <n v="0"/>
    <n v="0"/>
    <s v=""/>
    <n v="0"/>
    <s v=""/>
    <s v=""/>
    <x v="0"/>
    <x v="0"/>
    <s v=""/>
  </r>
  <r>
    <x v="310"/>
    <d v="1899-12-30T00:00:00"/>
    <n v="0"/>
    <n v="0"/>
    <s v=""/>
    <n v="0"/>
    <s v=""/>
    <s v=""/>
    <x v="0"/>
    <x v="0"/>
    <s v=""/>
  </r>
  <r>
    <x v="311"/>
    <d v="1899-12-30T00:00:00"/>
    <n v="0"/>
    <n v="0"/>
    <s v=""/>
    <n v="0"/>
    <s v=""/>
    <s v=""/>
    <x v="0"/>
    <x v="0"/>
    <s v=""/>
  </r>
  <r>
    <x v="312"/>
    <d v="1899-12-30T00:00:00"/>
    <n v="0"/>
    <n v="0"/>
    <s v=""/>
    <n v="0"/>
    <s v=""/>
    <s v=""/>
    <x v="0"/>
    <x v="0"/>
    <s v=""/>
  </r>
  <r>
    <x v="313"/>
    <d v="1899-12-30T00:00:00"/>
    <n v="0"/>
    <n v="0"/>
    <s v=""/>
    <n v="0"/>
    <s v=""/>
    <s v=""/>
    <x v="0"/>
    <x v="0"/>
    <s v=""/>
  </r>
  <r>
    <x v="314"/>
    <d v="1899-12-30T00:00:00"/>
    <n v="0"/>
    <n v="0"/>
    <s v=""/>
    <n v="0"/>
    <s v=""/>
    <s v=""/>
    <x v="0"/>
    <x v="0"/>
    <s v=""/>
  </r>
  <r>
    <x v="315"/>
    <d v="1899-12-30T00:00:00"/>
    <n v="0"/>
    <n v="0"/>
    <s v=""/>
    <n v="0"/>
    <s v=""/>
    <s v=""/>
    <x v="0"/>
    <x v="0"/>
    <s v=""/>
  </r>
  <r>
    <x v="316"/>
    <d v="1899-12-30T00:00:00"/>
    <n v="0"/>
    <n v="0"/>
    <s v=""/>
    <n v="0"/>
    <s v=""/>
    <s v=""/>
    <x v="0"/>
    <x v="0"/>
    <s v=""/>
  </r>
  <r>
    <x v="317"/>
    <d v="1899-12-30T00:00:00"/>
    <n v="0"/>
    <n v="0"/>
    <s v=""/>
    <n v="0"/>
    <s v=""/>
    <s v=""/>
    <x v="0"/>
    <x v="0"/>
    <s v=""/>
  </r>
  <r>
    <x v="318"/>
    <d v="1899-12-30T00:00:00"/>
    <n v="0"/>
    <n v="0"/>
    <s v=""/>
    <n v="0"/>
    <s v=""/>
    <s v=""/>
    <x v="0"/>
    <x v="0"/>
    <s v=""/>
  </r>
  <r>
    <x v="319"/>
    <d v="1899-12-30T00:00:00"/>
    <n v="0"/>
    <n v="0"/>
    <s v=""/>
    <n v="0"/>
    <s v=""/>
    <s v=""/>
    <x v="0"/>
    <x v="0"/>
    <s v=""/>
  </r>
  <r>
    <x v="320"/>
    <d v="1899-12-30T00:00:00"/>
    <n v="0"/>
    <n v="0"/>
    <s v=""/>
    <n v="0"/>
    <s v=""/>
    <s v=""/>
    <x v="0"/>
    <x v="0"/>
    <s v=""/>
  </r>
  <r>
    <x v="321"/>
    <d v="1899-12-30T00:00:00"/>
    <n v="0"/>
    <n v="0"/>
    <s v=""/>
    <n v="0"/>
    <s v=""/>
    <s v=""/>
    <x v="0"/>
    <x v="0"/>
    <s v=""/>
  </r>
  <r>
    <x v="322"/>
    <d v="1899-12-30T00:00:00"/>
    <n v="0"/>
    <n v="0"/>
    <s v=""/>
    <n v="0"/>
    <s v=""/>
    <s v=""/>
    <x v="0"/>
    <x v="0"/>
    <s v=""/>
  </r>
  <r>
    <x v="323"/>
    <d v="1899-12-30T00:00:00"/>
    <n v="0"/>
    <n v="0"/>
    <s v=""/>
    <n v="0"/>
    <s v=""/>
    <s v=""/>
    <x v="0"/>
    <x v="0"/>
    <s v=""/>
  </r>
  <r>
    <x v="324"/>
    <d v="1899-12-30T00:00:00"/>
    <n v="0"/>
    <n v="0"/>
    <s v=""/>
    <n v="0"/>
    <s v=""/>
    <s v=""/>
    <x v="0"/>
    <x v="0"/>
    <s v=""/>
  </r>
  <r>
    <x v="325"/>
    <d v="1899-12-30T00:00:00"/>
    <n v="0"/>
    <n v="0"/>
    <s v=""/>
    <n v="0"/>
    <s v=""/>
    <s v=""/>
    <x v="0"/>
    <x v="0"/>
    <s v=""/>
  </r>
  <r>
    <x v="326"/>
    <d v="1899-12-30T00:00:00"/>
    <n v="0"/>
    <n v="0"/>
    <s v=""/>
    <n v="0"/>
    <s v=""/>
    <s v=""/>
    <x v="0"/>
    <x v="0"/>
    <s v=""/>
  </r>
  <r>
    <x v="327"/>
    <d v="1899-12-30T00:00:00"/>
    <n v="0"/>
    <n v="0"/>
    <s v=""/>
    <n v="0"/>
    <s v=""/>
    <s v=""/>
    <x v="0"/>
    <x v="0"/>
    <s v=""/>
  </r>
  <r>
    <x v="328"/>
    <d v="1899-12-30T00:00:00"/>
    <n v="0"/>
    <n v="0"/>
    <s v=""/>
    <n v="0"/>
    <s v=""/>
    <s v=""/>
    <x v="0"/>
    <x v="0"/>
    <s v=""/>
  </r>
  <r>
    <x v="329"/>
    <d v="1899-12-30T00:00:00"/>
    <n v="0"/>
    <n v="0"/>
    <s v=""/>
    <n v="0"/>
    <s v=""/>
    <s v=""/>
    <x v="0"/>
    <x v="0"/>
    <s v=""/>
  </r>
  <r>
    <x v="330"/>
    <d v="1899-12-30T00:00:00"/>
    <n v="0"/>
    <n v="0"/>
    <s v=""/>
    <n v="0"/>
    <s v=""/>
    <s v=""/>
    <x v="0"/>
    <x v="0"/>
    <s v=""/>
  </r>
  <r>
    <x v="331"/>
    <d v="1899-12-30T00:00:00"/>
    <n v="0"/>
    <n v="0"/>
    <s v=""/>
    <n v="0"/>
    <s v=""/>
    <s v=""/>
    <x v="0"/>
    <x v="0"/>
    <s v=""/>
  </r>
  <r>
    <x v="332"/>
    <d v="1899-12-30T00:00:00"/>
    <n v="0"/>
    <n v="0"/>
    <s v=""/>
    <n v="0"/>
    <s v=""/>
    <s v=""/>
    <x v="0"/>
    <x v="0"/>
    <s v=""/>
  </r>
  <r>
    <x v="333"/>
    <d v="1899-12-30T00:00:00"/>
    <n v="0"/>
    <n v="0"/>
    <s v=""/>
    <n v="0"/>
    <s v=""/>
    <s v=""/>
    <x v="0"/>
    <x v="0"/>
    <s v=""/>
  </r>
  <r>
    <x v="334"/>
    <d v="1899-12-30T00:00:00"/>
    <n v="0"/>
    <n v="0"/>
    <s v=""/>
    <n v="0"/>
    <s v=""/>
    <s v=""/>
    <x v="0"/>
    <x v="0"/>
    <s v=""/>
  </r>
  <r>
    <x v="335"/>
    <d v="1899-12-30T00:00:00"/>
    <n v="0"/>
    <n v="0"/>
    <s v=""/>
    <n v="0"/>
    <s v=""/>
    <s v=""/>
    <x v="0"/>
    <x v="0"/>
    <s v=""/>
  </r>
  <r>
    <x v="336"/>
    <d v="1899-12-30T00:00:00"/>
    <n v="0"/>
    <n v="0"/>
    <s v=""/>
    <n v="0"/>
    <s v=""/>
    <s v=""/>
    <x v="0"/>
    <x v="0"/>
    <s v=""/>
  </r>
  <r>
    <x v="337"/>
    <d v="1899-12-30T00:00:00"/>
    <n v="0"/>
    <n v="0"/>
    <s v=""/>
    <n v="0"/>
    <s v=""/>
    <s v=""/>
    <x v="0"/>
    <x v="0"/>
    <s v=""/>
  </r>
  <r>
    <x v="338"/>
    <d v="1899-12-30T00:00:00"/>
    <n v="0"/>
    <n v="0"/>
    <s v=""/>
    <n v="0"/>
    <s v=""/>
    <s v=""/>
    <x v="0"/>
    <x v="0"/>
    <s v="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4">
  <r>
    <x v="0"/>
    <d v="1899-12-30T19:00:00"/>
    <d v="1899-12-30T21:10:00"/>
    <s v="Tarde"/>
    <x v="0"/>
    <d v="1899-12-30T02:10:00"/>
    <d v="1899-12-30T02:10:00"/>
    <x v="0"/>
    <n v="2754"/>
    <n v="3899.9999999999995"/>
    <n v="0.70615384615384624"/>
    <m/>
    <s v=""/>
    <s v=""/>
  </r>
  <r>
    <x v="1"/>
    <d v="1899-12-30T07:55:00"/>
    <d v="1899-12-30T13:20:00"/>
    <s v="Mañana"/>
    <x v="0"/>
    <d v="1899-12-30T05:25:00"/>
    <d v="1899-12-30T05:25:00"/>
    <x v="0"/>
    <n v="4446"/>
    <n v="9750"/>
    <n v="0.45600000000000002"/>
    <m/>
    <s v=""/>
    <s v=""/>
  </r>
  <r>
    <x v="1"/>
    <d v="1899-12-30T14:30:00"/>
    <d v="1899-12-30T20:30:00"/>
    <s v="Tarde"/>
    <x v="0"/>
    <d v="1899-12-30T06:00:00"/>
    <d v="1899-12-30T06:00:00"/>
    <x v="0"/>
    <n v="8694"/>
    <n v="10800"/>
    <n v="0.80500000000000005"/>
    <m/>
    <s v=""/>
    <s v=""/>
  </r>
  <r>
    <x v="2"/>
    <d v="1899-12-30T11:45:00"/>
    <d v="1899-12-30T13:15:00"/>
    <s v="Mañana"/>
    <x v="0"/>
    <d v="1899-12-30T01:30:00"/>
    <d v="1899-12-30T01:30:00"/>
    <x v="0"/>
    <n v="1380"/>
    <n v="2700"/>
    <n v="0.51111111111111107"/>
    <m/>
    <s v=""/>
    <s v=""/>
  </r>
  <r>
    <x v="2"/>
    <d v="1899-12-30T14:15:00"/>
    <d v="1899-12-30T21:00:00"/>
    <s v="Tarde"/>
    <x v="0"/>
    <d v="1899-12-30T06:45:00"/>
    <d v="1899-12-30T06:45:00"/>
    <x v="0"/>
    <n v="9558"/>
    <n v="12150"/>
    <n v="0.78666666666666663"/>
    <m/>
    <s v=""/>
    <s v=""/>
  </r>
  <r>
    <x v="3"/>
    <d v="1899-12-30T06:00:00"/>
    <d v="1899-12-30T12:00:00"/>
    <s v="Mañana"/>
    <x v="0"/>
    <d v="1899-12-30T06:00:00"/>
    <d v="1899-12-30T06:00:00"/>
    <x v="0"/>
    <n v="6144"/>
    <n v="10800"/>
    <n v="0.56888888888888889"/>
    <m/>
    <s v=""/>
    <s v=""/>
  </r>
  <r>
    <x v="3"/>
    <d v="1899-12-30T16:30:00"/>
    <d v="1899-12-30T18:50:00"/>
    <s v="Tarde"/>
    <x v="0"/>
    <d v="1899-12-30T02:20:00"/>
    <d v="1899-12-30T02:20:00"/>
    <x v="0"/>
    <n v="2448"/>
    <n v="4200"/>
    <n v="0.58285714285714285"/>
    <m/>
    <s v=""/>
    <s v=""/>
  </r>
  <r>
    <x v="4"/>
    <d v="1899-12-30T20:40:00"/>
    <d v="1899-12-30T22:00:00"/>
    <s v="Tarde"/>
    <x v="0"/>
    <d v="1899-12-30T01:20:00"/>
    <d v="1899-12-30T01:20:00"/>
    <x v="1"/>
    <n v="384"/>
    <n v="2400"/>
    <n v="0.16"/>
    <m/>
    <s v=""/>
    <s v=""/>
  </r>
  <r>
    <x v="5"/>
    <d v="1899-12-30T07:15:00"/>
    <d v="1899-12-30T14:00:00"/>
    <s v="Mañana"/>
    <x v="0"/>
    <d v="1899-12-30T06:45:00"/>
    <d v="1899-12-30T06:45:00"/>
    <x v="1"/>
    <n v="5820"/>
    <n v="12150"/>
    <n v="0.47901234567901235"/>
    <m/>
    <s v=""/>
    <s v=""/>
  </r>
  <r>
    <x v="6"/>
    <d v="1899-12-30T06:10:00"/>
    <d v="1899-12-30T13:55:00"/>
    <s v="Mañana"/>
    <x v="0"/>
    <d v="1899-12-30T07:45:00"/>
    <d v="1899-12-30T07:45:00"/>
    <x v="1"/>
    <n v="6840"/>
    <n v="13950"/>
    <n v="0.49032258064516127"/>
    <m/>
    <s v=""/>
    <s v=""/>
  </r>
  <r>
    <x v="6"/>
    <d v="1899-12-30T14:25:00"/>
    <d v="1899-12-30T16:15:00"/>
    <s v="Tarde"/>
    <x v="0"/>
    <d v="1899-12-30T01:50:00"/>
    <d v="1899-12-30T01:50:00"/>
    <x v="1"/>
    <n v="2052"/>
    <n v="3300"/>
    <n v="0.62181818181818183"/>
    <m/>
    <s v=""/>
    <s v=""/>
  </r>
  <r>
    <x v="6"/>
    <d v="1899-12-30T16:45:00"/>
    <d v="1899-12-30T22:00:00"/>
    <s v="Tarde"/>
    <x v="0"/>
    <d v="1899-12-30T05:15:00"/>
    <d v="1899-12-30T05:15:00"/>
    <x v="1"/>
    <n v="5820"/>
    <n v="9450"/>
    <n v="0.61587301587301591"/>
    <m/>
    <s v=""/>
    <s v=""/>
  </r>
  <r>
    <x v="7"/>
    <d v="1899-12-30T06:15:00"/>
    <d v="1899-12-30T13:15:00"/>
    <s v="Mañana"/>
    <x v="0"/>
    <d v="1899-12-30T07:00:00"/>
    <d v="1899-12-30T07:00:00"/>
    <x v="1"/>
    <n v="9756"/>
    <n v="12600"/>
    <n v="0.77428571428571424"/>
    <m/>
    <s v=""/>
    <s v=""/>
  </r>
  <r>
    <x v="7"/>
    <d v="1899-12-30T14:30:00"/>
    <d v="1899-12-30T22:00:00"/>
    <s v="Tarde"/>
    <x v="0"/>
    <d v="1899-12-30T07:30:00"/>
    <d v="1899-12-30T07:30:00"/>
    <x v="1"/>
    <n v="10260"/>
    <n v="13500"/>
    <n v="0.76"/>
    <m/>
    <s v=""/>
    <s v=""/>
  </r>
  <r>
    <x v="8"/>
    <d v="1899-12-30T14:15:00"/>
    <d v="1899-12-30T16:55:00"/>
    <s v="Tarde"/>
    <x v="0"/>
    <d v="1899-12-30T02:40:00"/>
    <d v="1899-12-30T02:40:00"/>
    <x v="1"/>
    <n v="4716"/>
    <n v="4800"/>
    <n v="0.98250000000000004"/>
    <m/>
    <s v=""/>
    <s v=""/>
  </r>
  <r>
    <x v="8"/>
    <d v="1899-12-30T17:30:00"/>
    <d v="1899-12-30T21:30:00"/>
    <s v="Tarde"/>
    <x v="0"/>
    <d v="1899-12-30T04:00:00"/>
    <d v="1899-12-30T04:00:00"/>
    <x v="1"/>
    <n v="5670"/>
    <n v="7200"/>
    <n v="0.78749999999999998"/>
    <m/>
    <s v=""/>
    <s v=""/>
  </r>
  <r>
    <x v="9"/>
    <d v="1899-12-30T06:00:00"/>
    <d v="1899-12-30T13:40:00"/>
    <s v="Mañana"/>
    <x v="0"/>
    <d v="1899-12-30T07:40:00"/>
    <d v="1899-12-30T07:40:00"/>
    <x v="2"/>
    <n v="9300"/>
    <n v="13800"/>
    <n v="0.67391304347826086"/>
    <m/>
    <s v=""/>
    <s v=""/>
  </r>
  <r>
    <x v="10"/>
    <d v="1899-12-30T19:10:00"/>
    <d v="1899-12-30T21:30:00"/>
    <s v="Tarde"/>
    <x v="0"/>
    <d v="1899-12-30T02:20:00"/>
    <d v="1899-12-30T02:20:00"/>
    <x v="2"/>
    <n v="2784"/>
    <n v="4200"/>
    <n v="0.66285714285714281"/>
    <m/>
    <s v=""/>
    <s v=""/>
  </r>
  <r>
    <x v="11"/>
    <d v="1899-12-30T06:10:00"/>
    <d v="1899-12-30T08:45:00"/>
    <s v="Mañana"/>
    <x v="0"/>
    <d v="1899-12-30T02:35:00"/>
    <d v="1899-12-30T02:35:00"/>
    <x v="2"/>
    <n v="2174"/>
    <n v="4650"/>
    <n v="0.46752688172043011"/>
    <m/>
    <s v=""/>
    <s v=""/>
  </r>
  <r>
    <x v="11"/>
    <d v="1899-12-30T09:00:00"/>
    <d v="1899-12-30T13:30:00"/>
    <s v="Mañana"/>
    <x v="0"/>
    <d v="1899-12-30T04:30:00"/>
    <d v="1899-12-30T04:30:00"/>
    <x v="2"/>
    <n v="661"/>
    <n v="8100"/>
    <n v="8.1604938271604935E-2"/>
    <m/>
    <s v=""/>
    <s v=""/>
  </r>
  <r>
    <x v="11"/>
    <d v="1899-12-30T14:35:00"/>
    <d v="1899-12-30T21:35:00"/>
    <s v="Tarde"/>
    <x v="0"/>
    <d v="1899-12-30T07:00:00"/>
    <d v="1899-12-30T07:00:00"/>
    <x v="2"/>
    <n v="3339"/>
    <n v="12600"/>
    <n v="0.26500000000000001"/>
    <m/>
    <s v=""/>
    <s v=""/>
  </r>
  <r>
    <x v="12"/>
    <d v="1899-12-30T06:30:00"/>
    <d v="1899-12-30T08:45:00"/>
    <s v="Mañana"/>
    <x v="0"/>
    <d v="1899-12-30T02:15:00"/>
    <d v="1899-12-30T02:15:00"/>
    <x v="2"/>
    <n v="1000"/>
    <n v="4050"/>
    <n v="0.24691358024691357"/>
    <m/>
    <s v=""/>
    <s v=""/>
  </r>
  <r>
    <x v="13"/>
    <d v="1899-12-30T07:15:00"/>
    <d v="1899-12-30T12:20:00"/>
    <s v="Mañana"/>
    <x v="0"/>
    <d v="1899-12-30T05:05:00"/>
    <d v="1899-12-30T05:05:00"/>
    <x v="3"/>
    <n v="3607"/>
    <n v="9150"/>
    <n v="0.39420765027322402"/>
    <m/>
    <s v=""/>
    <s v=""/>
  </r>
  <r>
    <x v="13"/>
    <d v="1899-12-30T14:45:00"/>
    <d v="1899-12-30T15:40:00"/>
    <s v="Tarde"/>
    <x v="0"/>
    <d v="1899-12-30T00:55:00"/>
    <d v="1899-12-30T00:55:00"/>
    <x v="3"/>
    <n v="962"/>
    <n v="1650"/>
    <n v="0.58303030303030301"/>
    <m/>
    <s v=""/>
    <s v=""/>
  </r>
  <r>
    <x v="13"/>
    <d v="1899-12-30T16:15:00"/>
    <d v="1899-12-30T17:05:00"/>
    <s v="Tarde"/>
    <x v="0"/>
    <d v="1899-12-30T00:50:00"/>
    <d v="1899-12-30T00:50:00"/>
    <x v="3"/>
    <n v="736"/>
    <n v="1500"/>
    <n v="0.49066666666666664"/>
    <m/>
    <s v=""/>
    <s v=""/>
  </r>
  <r>
    <x v="13"/>
    <d v="1899-12-30T17:40:00"/>
    <d v="1899-12-30T20:15:00"/>
    <s v="Tarde"/>
    <x v="0"/>
    <d v="1899-12-30T02:35:00"/>
    <d v="1899-12-30T02:35:00"/>
    <x v="3"/>
    <n v="1728"/>
    <n v="4650"/>
    <n v="0.37161290322580648"/>
    <m/>
    <s v=""/>
    <s v=""/>
  </r>
  <r>
    <x v="14"/>
    <d v="1899-12-30T06:55:00"/>
    <d v="1899-12-30T09:25:00"/>
    <s v="Mañana"/>
    <x v="0"/>
    <d v="1899-12-30T02:30:00"/>
    <d v="1899-12-30T02:30:00"/>
    <x v="4"/>
    <n v="768"/>
    <n v="4500"/>
    <n v="0.17066666666666666"/>
    <m/>
    <s v=""/>
    <s v=""/>
  </r>
  <r>
    <x v="14"/>
    <d v="1899-12-30T10:50:00"/>
    <d v="1899-12-30T11:30:00"/>
    <s v="Mañana"/>
    <x v="0"/>
    <d v="1899-12-30T00:40:00"/>
    <d v="1899-12-30T00:40:00"/>
    <x v="4"/>
    <n v="384"/>
    <n v="1200"/>
    <n v="0.32"/>
    <m/>
    <s v=""/>
    <s v=""/>
  </r>
  <r>
    <x v="14"/>
    <d v="1899-12-30T12:10:00"/>
    <d v="1899-12-30T13:10:00"/>
    <s v="Mañana"/>
    <x v="0"/>
    <d v="1899-12-30T01:00:00"/>
    <d v="1899-12-30T01:00:00"/>
    <x v="4"/>
    <n v="960"/>
    <n v="1800"/>
    <n v="0.53333333333333333"/>
    <m/>
    <s v=""/>
    <s v=""/>
  </r>
  <r>
    <x v="14"/>
    <d v="1899-12-30T14:25:00"/>
    <d v="1899-12-30T15:50:00"/>
    <s v="Tarde"/>
    <x v="0"/>
    <d v="1899-12-30T01:25:00"/>
    <d v="1899-12-30T01:25:00"/>
    <x v="4"/>
    <n v="1287"/>
    <n v="2550"/>
    <n v="0.50470588235294123"/>
    <m/>
    <s v=""/>
    <s v=""/>
  </r>
  <r>
    <x v="14"/>
    <d v="1899-12-30T16:15:00"/>
    <d v="1899-12-30T16:35:00"/>
    <s v="Tarde"/>
    <x v="0"/>
    <d v="1899-12-30T00:20:00"/>
    <d v="1899-12-30T00:20:00"/>
    <x v="4"/>
    <n v="192"/>
    <n v="600"/>
    <n v="0.32"/>
    <m/>
    <s v=""/>
    <s v=""/>
  </r>
  <r>
    <x v="14"/>
    <d v="1899-12-30T17:10:00"/>
    <d v="1899-12-30T17:55:00"/>
    <s v="Tarde"/>
    <x v="0"/>
    <d v="1899-12-30T00:45:00"/>
    <d v="1899-12-30T00:45:00"/>
    <x v="4"/>
    <n v="731"/>
    <n v="1350"/>
    <n v="0.54148148148148145"/>
    <m/>
    <s v=""/>
    <s v=""/>
  </r>
  <r>
    <x v="14"/>
    <d v="1899-12-30T19:30:00"/>
    <d v="1899-12-30T21:45:00"/>
    <s v="Tarde"/>
    <x v="0"/>
    <d v="1899-12-30T02:15:00"/>
    <d v="1899-12-30T02:15:00"/>
    <x v="4"/>
    <n v="1506"/>
    <n v="4050"/>
    <n v="0.37185185185185188"/>
    <m/>
    <s v=""/>
    <s v=""/>
  </r>
  <r>
    <x v="15"/>
    <d v="1899-12-30T06:10:00"/>
    <d v="1899-12-30T07:30:00"/>
    <s v="Mañana"/>
    <x v="0"/>
    <d v="1899-12-30T01:20:00"/>
    <d v="1899-12-30T01:20:00"/>
    <x v="4"/>
    <n v="1332"/>
    <n v="2400"/>
    <n v="0.55500000000000005"/>
    <m/>
    <s v=""/>
    <s v=""/>
  </r>
  <r>
    <x v="15"/>
    <d v="1899-12-30T08:25:00"/>
    <d v="1899-12-30T10:20:00"/>
    <s v="Mañana"/>
    <x v="0"/>
    <d v="1899-12-30T01:55:00"/>
    <d v="1899-12-30T01:55:00"/>
    <x v="4"/>
    <n v="1002"/>
    <n v="3450"/>
    <n v="0.29043478260869565"/>
    <m/>
    <s v=""/>
    <s v=""/>
  </r>
  <r>
    <x v="15"/>
    <d v="1899-12-30T12:30:00"/>
    <d v="1899-12-30T13:45:00"/>
    <s v="Mañana"/>
    <x v="0"/>
    <d v="1899-12-30T01:15:00"/>
    <d v="1899-12-30T01:15:00"/>
    <x v="4"/>
    <n v="336"/>
    <n v="2250"/>
    <n v="0.14933333333333335"/>
    <m/>
    <s v=""/>
    <s v=""/>
  </r>
  <r>
    <x v="16"/>
    <d v="1899-12-30T06:10:00"/>
    <d v="1899-12-30T09:00:00"/>
    <s v="Mañana"/>
    <x v="0"/>
    <d v="1899-12-30T02:50:00"/>
    <d v="1899-12-30T02:50:00"/>
    <x v="4"/>
    <n v="720"/>
    <n v="5100"/>
    <n v="0.14117647058823529"/>
    <m/>
    <s v=""/>
    <s v=""/>
  </r>
  <r>
    <x v="16"/>
    <d v="1899-12-30T13:15:00"/>
    <d v="1899-12-30T14:00:00"/>
    <s v="Mañana"/>
    <x v="0"/>
    <d v="1899-12-30T00:45:00"/>
    <d v="1899-12-30T00:45:00"/>
    <x v="4"/>
    <n v="633"/>
    <n v="1350"/>
    <n v="0.46888888888888891"/>
    <m/>
    <s v=""/>
    <s v=""/>
  </r>
  <r>
    <x v="17"/>
    <d v="1899-12-30T17:30:00"/>
    <d v="1899-12-30T18:00:00"/>
    <s v="Tarde"/>
    <x v="0"/>
    <d v="1899-12-30T00:30:00"/>
    <d v="1899-12-30T00:30:00"/>
    <x v="4"/>
    <n v="378"/>
    <n v="900"/>
    <n v="0.42"/>
    <m/>
    <s v=""/>
    <s v=""/>
  </r>
  <r>
    <x v="17"/>
    <d v="1899-12-30T18:20:00"/>
    <d v="1899-12-30T21:30:00"/>
    <s v="Tarde"/>
    <x v="0"/>
    <d v="1899-12-30T03:10:00"/>
    <d v="1899-12-30T03:10:00"/>
    <x v="4"/>
    <n v="2862"/>
    <n v="5700"/>
    <n v="0.50210526315789472"/>
    <m/>
    <s v=""/>
    <s v=""/>
  </r>
  <r>
    <x v="18"/>
    <d v="1899-12-30T06:30:00"/>
    <d v="1899-12-30T14:00:00"/>
    <s v="Mañana"/>
    <x v="0"/>
    <d v="1899-12-30T07:30:00"/>
    <d v="1899-12-30T07:30:00"/>
    <x v="4"/>
    <n v="7560"/>
    <n v="13500"/>
    <n v="0.56000000000000005"/>
    <m/>
    <s v=""/>
    <s v=""/>
  </r>
  <r>
    <x v="18"/>
    <d v="1899-12-30T14:30:00"/>
    <d v="1899-12-30T21:30:00"/>
    <s v="Tarde"/>
    <x v="0"/>
    <d v="1899-12-30T07:00:00"/>
    <d v="1899-12-30T07:00:00"/>
    <x v="4"/>
    <n v="9744"/>
    <n v="12600"/>
    <n v="0.77333333333333332"/>
    <m/>
    <s v=""/>
    <s v=""/>
  </r>
  <r>
    <x v="19"/>
    <d v="1899-12-30T06:15:00"/>
    <d v="1899-12-30T10:00:00"/>
    <s v="Mañana"/>
    <x v="0"/>
    <d v="1899-12-30T03:45:00"/>
    <d v="1899-12-30T03:45:00"/>
    <x v="5"/>
    <n v="2982"/>
    <n v="6750"/>
    <n v="0.44177777777777777"/>
    <m/>
    <s v=""/>
    <s v=""/>
  </r>
  <r>
    <x v="19"/>
    <d v="1899-12-30T10:00:00"/>
    <d v="1899-12-30T14:00:00"/>
    <s v="Mañana"/>
    <x v="0"/>
    <d v="1899-12-30T04:00:00"/>
    <d v="1899-12-30T04:00:00"/>
    <x v="5"/>
    <n v="3180"/>
    <n v="7200"/>
    <n v="0.44166666666666665"/>
    <m/>
    <s v=""/>
    <s v=""/>
  </r>
  <r>
    <x v="19"/>
    <d v="1899-12-30T14:30:00"/>
    <d v="1899-12-30T16:05:00"/>
    <s v="Tarde"/>
    <x v="0"/>
    <d v="1899-12-30T01:35:00"/>
    <d v="1899-12-30T01:35:00"/>
    <x v="5"/>
    <n v="1818"/>
    <n v="2850"/>
    <n v="0.63789473684210529"/>
    <m/>
    <s v=""/>
    <s v=""/>
  </r>
  <r>
    <x v="19"/>
    <d v="1899-12-30T17:25:00"/>
    <d v="1899-12-30T21:20:00"/>
    <s v="Tarde"/>
    <x v="0"/>
    <d v="1899-12-30T03:55:00"/>
    <d v="1899-12-30T03:55:00"/>
    <x v="5"/>
    <n v="4878"/>
    <n v="7050"/>
    <n v="0.6919148936170213"/>
    <m/>
    <s v=""/>
    <s v=""/>
  </r>
  <r>
    <x v="20"/>
    <d v="1899-12-30T19:00:00"/>
    <d v="1899-12-30T21:30:00"/>
    <s v="Tarde"/>
    <x v="0"/>
    <d v="1899-12-30T02:30:00"/>
    <d v="1899-12-30T02:30:00"/>
    <x v="5"/>
    <n v="2040"/>
    <n v="4500"/>
    <n v="0.45333333333333331"/>
    <m/>
    <s v=""/>
    <s v=""/>
  </r>
  <r>
    <x v="21"/>
    <d v="1899-12-30T06:15:00"/>
    <d v="1899-12-30T09:00:00"/>
    <s v="Mañana"/>
    <x v="0"/>
    <d v="1899-12-30T02:45:00"/>
    <d v="1899-12-30T02:45:00"/>
    <x v="5"/>
    <n v="1020"/>
    <n v="4950"/>
    <n v="0.20606060606060606"/>
    <m/>
    <s v=""/>
    <s v=""/>
  </r>
  <r>
    <x v="21"/>
    <d v="1899-12-30T14:15:00"/>
    <d v="1899-12-30T14:45:00"/>
    <s v="Tarde"/>
    <x v="0"/>
    <d v="1899-12-30T00:30:00"/>
    <d v="1899-12-30T00:30:00"/>
    <x v="5"/>
    <n v="176"/>
    <n v="900"/>
    <n v="0.19555555555555557"/>
    <m/>
    <s v=""/>
    <s v=""/>
  </r>
  <r>
    <x v="22"/>
    <d v="1899-12-30T14:10:00"/>
    <d v="1899-12-30T21:30:00"/>
    <s v="Tarde"/>
    <x v="0"/>
    <d v="1899-12-30T07:20:00"/>
    <d v="1899-12-30T07:20:00"/>
    <x v="5"/>
    <n v="10182"/>
    <n v="13200"/>
    <n v="0.77136363636363636"/>
    <m/>
    <s v=""/>
    <s v=""/>
  </r>
  <r>
    <x v="23"/>
    <d v="1899-12-30T06:45:00"/>
    <d v="1899-12-30T13:45:00"/>
    <s v="Mañana"/>
    <x v="0"/>
    <d v="1899-12-30T07:00:00"/>
    <d v="1899-12-30T07:00:00"/>
    <x v="6"/>
    <m/>
    <n v="12600"/>
    <n v="0"/>
    <m/>
    <s v=""/>
    <s v=""/>
  </r>
  <r>
    <x v="23"/>
    <d v="1899-12-30T14:15:00"/>
    <d v="1899-12-30T17:20:00"/>
    <s v="Tarde"/>
    <x v="0"/>
    <d v="1899-12-30T03:05:00"/>
    <d v="1899-12-30T03:05:00"/>
    <x v="6"/>
    <m/>
    <n v="5550"/>
    <n v="0"/>
    <m/>
    <s v=""/>
    <s v=""/>
  </r>
  <r>
    <x v="23"/>
    <d v="1899-12-30T17:20:00"/>
    <d v="1899-12-30T17:30:00"/>
    <s v="Tarde"/>
    <x v="1"/>
    <s v=""/>
    <d v="1899-12-30T00:10:00"/>
    <x v="6"/>
    <m/>
    <s v=""/>
    <s v=""/>
    <m/>
    <d v="1899-12-30T00:10:00"/>
    <s v=""/>
  </r>
  <r>
    <x v="23"/>
    <d v="1899-12-30T17:30:00"/>
    <d v="1899-12-30T22:00:00"/>
    <s v="Tarde"/>
    <x v="0"/>
    <d v="1899-12-30T04:30:00"/>
    <d v="1899-12-30T04:30:00"/>
    <x v="6"/>
    <m/>
    <n v="8100"/>
    <n v="0"/>
    <m/>
    <s v=""/>
    <s v=""/>
  </r>
  <r>
    <x v="24"/>
    <d v="1899-12-30T06:15:00"/>
    <d v="1899-12-30T09:30:00"/>
    <s v="Mañana"/>
    <x v="0"/>
    <d v="1899-12-30T03:15:00"/>
    <d v="1899-12-30T03:15:00"/>
    <x v="6"/>
    <m/>
    <n v="5850"/>
    <n v="0"/>
    <m/>
    <s v=""/>
    <s v=""/>
  </r>
  <r>
    <x v="24"/>
    <d v="1899-12-30T09:30:00"/>
    <d v="1899-12-30T10:00:00"/>
    <s v="Mañana"/>
    <x v="1"/>
    <s v=""/>
    <d v="1899-12-30T00:30:00"/>
    <x v="6"/>
    <m/>
    <s v=""/>
    <s v=""/>
    <m/>
    <d v="1899-12-30T00:30:00"/>
    <s v=""/>
  </r>
  <r>
    <x v="24"/>
    <d v="1899-12-30T10:00:00"/>
    <d v="1899-12-30T14:00:00"/>
    <s v="Mañana"/>
    <x v="0"/>
    <d v="1899-12-30T04:00:00"/>
    <d v="1899-12-30T04:00:00"/>
    <x v="6"/>
    <m/>
    <n v="7200"/>
    <n v="0"/>
    <m/>
    <s v=""/>
    <s v=""/>
  </r>
  <r>
    <x v="24"/>
    <d v="1899-12-30T14:15:00"/>
    <d v="1899-12-30T16:50:00"/>
    <s v="Tarde"/>
    <x v="0"/>
    <d v="1899-12-30T02:35:00"/>
    <d v="1899-12-30T02:35:00"/>
    <x v="6"/>
    <m/>
    <n v="4650"/>
    <n v="0"/>
    <m/>
    <s v=""/>
    <s v=""/>
  </r>
  <r>
    <x v="24"/>
    <d v="1899-12-30T16:50:00"/>
    <d v="1899-12-30T17:50:00"/>
    <s v="Tarde"/>
    <x v="1"/>
    <s v=""/>
    <d v="1899-12-30T01:00:00"/>
    <x v="6"/>
    <m/>
    <s v=""/>
    <s v=""/>
    <m/>
    <d v="1899-12-30T01:00:00"/>
    <s v=""/>
  </r>
  <r>
    <x v="24"/>
    <d v="1899-12-30T17:50:00"/>
    <d v="1899-12-30T22:00:00"/>
    <s v="Tarde"/>
    <x v="0"/>
    <d v="1899-12-30T04:10:00"/>
    <d v="1899-12-30T04:10:00"/>
    <x v="6"/>
    <m/>
    <n v="7500.0000000000009"/>
    <n v="0"/>
    <m/>
    <s v=""/>
    <s v=""/>
  </r>
  <r>
    <x v="25"/>
    <d v="1899-12-30T06:20:00"/>
    <d v="1899-12-30T13:30:00"/>
    <s v="Mañana"/>
    <x v="0"/>
    <d v="1899-12-30T07:10:00"/>
    <d v="1899-12-30T07:10:00"/>
    <x v="6"/>
    <m/>
    <n v="12900"/>
    <n v="0"/>
    <m/>
    <s v=""/>
    <s v=""/>
  </r>
  <r>
    <x v="25"/>
    <d v="1899-12-30T14:15:00"/>
    <d v="1899-12-30T19:15:00"/>
    <s v="Tarde"/>
    <x v="0"/>
    <d v="1899-12-30T05:00:00"/>
    <d v="1899-12-30T05:00:00"/>
    <x v="6"/>
    <m/>
    <n v="9000"/>
    <n v="0"/>
    <m/>
    <s v=""/>
    <s v=""/>
  </r>
  <r>
    <x v="25"/>
    <d v="1899-12-30T19:15:00"/>
    <d v="1899-12-30T19:35:00"/>
    <s v="Tarde"/>
    <x v="1"/>
    <s v=""/>
    <d v="1899-12-30T00:20:00"/>
    <x v="6"/>
    <m/>
    <s v=""/>
    <s v=""/>
    <m/>
    <d v="1899-12-30T00:20:00"/>
    <s v=""/>
  </r>
  <r>
    <x v="25"/>
    <d v="1899-12-30T19:35:00"/>
    <d v="1899-12-30T22:00:00"/>
    <s v="Tarde"/>
    <x v="0"/>
    <d v="1899-12-30T02:25:00"/>
    <d v="1899-12-30T02:25:00"/>
    <x v="6"/>
    <m/>
    <n v="4350"/>
    <n v="0"/>
    <m/>
    <s v=""/>
    <s v=""/>
  </r>
  <r>
    <x v="26"/>
    <d v="1899-12-30T06:30:00"/>
    <d v="1899-12-30T13:40:00"/>
    <s v="Mañana"/>
    <x v="0"/>
    <d v="1899-12-30T07:10:00"/>
    <d v="1899-12-30T07:10:00"/>
    <x v="6"/>
    <m/>
    <n v="12900"/>
    <n v="0"/>
    <m/>
    <s v=""/>
    <s v=""/>
  </r>
  <r>
    <x v="26"/>
    <d v="1899-12-30T14:15:00"/>
    <d v="1899-12-30T19:48:00"/>
    <s v="Tarde"/>
    <x v="0"/>
    <d v="1899-12-30T05:33:00"/>
    <d v="1899-12-30T05:33:00"/>
    <x v="6"/>
    <m/>
    <n v="9990"/>
    <n v="0"/>
    <m/>
    <s v=""/>
    <s v=""/>
  </r>
  <r>
    <x v="26"/>
    <d v="1899-12-30T19:50:00"/>
    <d v="1899-12-30T22:00:00"/>
    <s v="Tarde"/>
    <x v="2"/>
    <s v=""/>
    <d v="1899-12-30T02:10:00"/>
    <x v="6"/>
    <m/>
    <s v=""/>
    <s v=""/>
    <m/>
    <d v="1899-12-30T02:10:00"/>
    <s v=""/>
  </r>
  <r>
    <x v="27"/>
    <d v="1899-12-30T06:15:00"/>
    <d v="1899-12-30T11:50:00"/>
    <s v="Mañana"/>
    <x v="2"/>
    <s v=""/>
    <d v="1899-12-30T05:35:00"/>
    <x v="6"/>
    <m/>
    <s v=""/>
    <s v=""/>
    <m/>
    <d v="1899-12-30T05:35:00"/>
    <s v=""/>
  </r>
  <r>
    <x v="27"/>
    <d v="1899-12-30T11:50:00"/>
    <d v="1899-12-30T14:00:00"/>
    <s v="Mañana"/>
    <x v="3"/>
    <s v=""/>
    <d v="1899-12-30T02:10:00"/>
    <x v="6"/>
    <m/>
    <s v=""/>
    <s v=""/>
    <m/>
    <d v="1899-12-30T02:10:00"/>
    <s v=""/>
  </r>
  <r>
    <x v="27"/>
    <d v="1899-12-30T14:30:00"/>
    <d v="1899-12-30T18:30:00"/>
    <s v="Tarde"/>
    <x v="3"/>
    <s v=""/>
    <d v="1899-12-30T04:00:00"/>
    <x v="6"/>
    <m/>
    <s v=""/>
    <s v=""/>
    <m/>
    <d v="1899-12-30T04:00:00"/>
    <s v=""/>
  </r>
  <r>
    <x v="27"/>
    <d v="1899-12-30T19:45:00"/>
    <d v="1899-12-30T22:00:00"/>
    <s v="Tarde"/>
    <x v="0"/>
    <d v="1899-12-30T02:15:00"/>
    <d v="1899-12-30T02:15:00"/>
    <x v="6"/>
    <m/>
    <n v="4050"/>
    <n v="0"/>
    <m/>
    <s v=""/>
    <s v=""/>
  </r>
  <r>
    <x v="28"/>
    <d v="1899-12-30T06:25:00"/>
    <d v="1899-12-30T13:30:00"/>
    <s v="Mañana"/>
    <x v="0"/>
    <d v="1899-12-30T07:05:00"/>
    <d v="1899-12-30T07:05:00"/>
    <x v="7"/>
    <m/>
    <n v="12750"/>
    <n v="0"/>
    <m/>
    <s v=""/>
    <s v=""/>
  </r>
  <r>
    <x v="28"/>
    <d v="1899-12-30T14:15:00"/>
    <d v="1899-12-30T16:30:00"/>
    <s v="Tarde"/>
    <x v="0"/>
    <d v="1899-12-30T02:15:00"/>
    <d v="1899-12-30T02:15:00"/>
    <x v="7"/>
    <m/>
    <n v="4050"/>
    <n v="0"/>
    <m/>
    <s v=""/>
    <s v=""/>
  </r>
  <r>
    <x v="28"/>
    <d v="1899-12-30T17:00:00"/>
    <d v="1899-12-30T22:00:00"/>
    <s v="Tarde"/>
    <x v="2"/>
    <s v=""/>
    <d v="1899-12-30T05:00:00"/>
    <x v="7"/>
    <m/>
    <s v=""/>
    <s v=""/>
    <m/>
    <d v="1899-12-30T05:00:00"/>
    <s v=""/>
  </r>
  <r>
    <x v="29"/>
    <d v="1899-12-30T06:00:00"/>
    <d v="1899-12-30T07:20:00"/>
    <s v="Mañana"/>
    <x v="2"/>
    <s v=""/>
    <d v="1899-12-30T01:20:00"/>
    <x v="7"/>
    <m/>
    <s v=""/>
    <s v=""/>
    <m/>
    <d v="1899-12-30T01:20:00"/>
    <s v=""/>
  </r>
  <r>
    <x v="29"/>
    <d v="1899-12-30T07:30:00"/>
    <d v="1899-12-30T10:00:00"/>
    <s v="Mañana"/>
    <x v="3"/>
    <s v=""/>
    <d v="1899-12-30T02:30:00"/>
    <x v="7"/>
    <m/>
    <s v=""/>
    <s v=""/>
    <m/>
    <d v="1899-12-30T02:30:00"/>
    <s v=""/>
  </r>
  <r>
    <x v="29"/>
    <d v="1899-12-30T11:35:00"/>
    <d v="1899-12-30T13:30:00"/>
    <s v="Mañana"/>
    <x v="0"/>
    <d v="1899-12-30T01:55:00"/>
    <d v="1899-12-30T01:55:00"/>
    <x v="7"/>
    <m/>
    <n v="3450"/>
    <n v="0"/>
    <m/>
    <s v=""/>
    <s v=""/>
  </r>
  <r>
    <x v="29"/>
    <d v="1899-12-30T14:45:00"/>
    <d v="1899-12-30T18:30:00"/>
    <s v="Tarde"/>
    <x v="0"/>
    <d v="1899-12-30T03:45:00"/>
    <d v="1899-12-30T03:45:00"/>
    <x v="7"/>
    <m/>
    <n v="6750"/>
    <n v="0"/>
    <m/>
    <s v=""/>
    <s v=""/>
  </r>
  <r>
    <x v="29"/>
    <d v="1899-12-30T19:00:00"/>
    <d v="1899-12-30T22:00:00"/>
    <s v="Tarde"/>
    <x v="2"/>
    <s v=""/>
    <d v="1899-12-30T03:00:00"/>
    <x v="7"/>
    <m/>
    <s v=""/>
    <s v=""/>
    <m/>
    <d v="1899-12-30T03:00:00"/>
    <s v=""/>
  </r>
  <r>
    <x v="30"/>
    <d v="1899-12-30T06:15:00"/>
    <d v="1899-12-30T08:50:00"/>
    <s v="Mañana"/>
    <x v="3"/>
    <s v=""/>
    <d v="1899-12-30T02:35:00"/>
    <x v="7"/>
    <m/>
    <s v=""/>
    <s v=""/>
    <m/>
    <d v="1899-12-30T02:35:00"/>
    <s v=""/>
  </r>
  <r>
    <x v="30"/>
    <d v="1899-12-30T09:00:00"/>
    <d v="1899-12-30T13:30:00"/>
    <s v="Mañana"/>
    <x v="0"/>
    <d v="1899-12-30T04:30:00"/>
    <d v="1899-12-30T04:30:00"/>
    <x v="7"/>
    <m/>
    <n v="8100"/>
    <n v="0"/>
    <m/>
    <s v=""/>
    <s v=""/>
  </r>
  <r>
    <x v="30"/>
    <d v="1899-12-30T14:45:00"/>
    <d v="1899-12-30T21:30:00"/>
    <s v="Tarde"/>
    <x v="0"/>
    <d v="1899-12-30T06:45:00"/>
    <d v="1899-12-30T06:45:00"/>
    <x v="7"/>
    <m/>
    <n v="12150"/>
    <n v="0"/>
    <m/>
    <s v=""/>
    <s v=""/>
  </r>
  <r>
    <x v="31"/>
    <d v="1899-12-30T06:25:00"/>
    <d v="1899-12-30T13:30:00"/>
    <s v="Mañana"/>
    <x v="0"/>
    <d v="1899-12-30T07:05:00"/>
    <d v="1899-12-30T07:05:00"/>
    <x v="7"/>
    <m/>
    <n v="12750"/>
    <n v="0"/>
    <m/>
    <s v=""/>
    <s v=""/>
  </r>
  <r>
    <x v="31"/>
    <d v="1899-12-30T14:20:00"/>
    <d v="1899-12-30T21:30:00"/>
    <s v="Tarde"/>
    <x v="0"/>
    <d v="1899-12-30T07:10:00"/>
    <d v="1899-12-30T07:10:00"/>
    <x v="7"/>
    <m/>
    <n v="12900"/>
    <n v="0"/>
    <m/>
    <s v=""/>
    <s v=""/>
  </r>
  <r>
    <x v="32"/>
    <d v="1899-12-30T06:15:00"/>
    <d v="1899-12-30T06:50:00"/>
    <s v="Mañana"/>
    <x v="0"/>
    <d v="1899-12-30T00:35:00"/>
    <d v="1899-12-30T00:35:00"/>
    <x v="7"/>
    <m/>
    <n v="1050"/>
    <n v="0"/>
    <m/>
    <s v=""/>
    <s v=""/>
  </r>
  <r>
    <x v="33"/>
    <d v="1899-12-30T10:00:00"/>
    <d v="1899-12-30T18:30:00"/>
    <s v="Mañana"/>
    <x v="2"/>
    <s v=""/>
    <d v="1899-12-30T08:30:00"/>
    <x v="8"/>
    <m/>
    <s v=""/>
    <s v=""/>
    <m/>
    <d v="1899-12-30T08:30:00"/>
    <s v=""/>
  </r>
  <r>
    <x v="34"/>
    <d v="1899-12-30T06:00:00"/>
    <d v="1899-12-30T18:30:00"/>
    <s v="Mañana"/>
    <x v="2"/>
    <s v=""/>
    <d v="1899-12-30T12:30:00"/>
    <x v="9"/>
    <m/>
    <s v=""/>
    <s v=""/>
    <m/>
    <d v="1899-12-30T12:30:00"/>
    <s v=""/>
  </r>
  <r>
    <x v="35"/>
    <d v="1899-12-30T06:00:00"/>
    <d v="1899-12-30T18:30:00"/>
    <s v="Mañana"/>
    <x v="2"/>
    <s v=""/>
    <d v="1899-12-30T12:30:00"/>
    <x v="9"/>
    <m/>
    <s v=""/>
    <s v=""/>
    <m/>
    <d v="1899-12-30T12:30:00"/>
    <s v=""/>
  </r>
  <r>
    <x v="36"/>
    <d v="1899-12-30T06:00:00"/>
    <d v="1899-12-30T18:30:00"/>
    <s v="Mañana"/>
    <x v="2"/>
    <s v=""/>
    <d v="1899-12-30T12:30:00"/>
    <x v="9"/>
    <m/>
    <s v=""/>
    <s v=""/>
    <m/>
    <d v="1899-12-30T12:30:00"/>
    <s v=""/>
  </r>
  <r>
    <x v="37"/>
    <d v="1899-12-30T06:00:00"/>
    <d v="1899-12-30T14:00:00"/>
    <s v="Mañana"/>
    <x v="2"/>
    <s v=""/>
    <d v="1899-12-30T08:00:00"/>
    <x v="10"/>
    <m/>
    <s v=""/>
    <s v=""/>
    <m/>
    <d v="1899-12-30T08:00:00"/>
    <s v=""/>
  </r>
  <r>
    <x v="37"/>
    <d v="1899-12-30T14:00:00"/>
    <d v="1899-12-30T22:00:00"/>
    <s v="Tarde"/>
    <x v="0"/>
    <d v="1899-12-30T08:00:00"/>
    <d v="1899-12-30T08:00:00"/>
    <x v="10"/>
    <n v="1"/>
    <n v="14400"/>
    <n v="6.9444444444444444E-5"/>
    <m/>
    <s v=""/>
    <s v=""/>
  </r>
  <r>
    <x v="38"/>
    <d v="1899-12-30T06:00:00"/>
    <d v="1899-12-30T22:00:00"/>
    <s v="Mañana"/>
    <x v="0"/>
    <d v="1899-12-30T16:00:00"/>
    <d v="1899-12-30T16:00:00"/>
    <x v="10"/>
    <m/>
    <n v="28800"/>
    <n v="0"/>
    <m/>
    <s v=""/>
    <s v=""/>
  </r>
  <r>
    <x v="39"/>
    <d v="1899-12-30T06:00:00"/>
    <d v="1899-12-30T22:00:00"/>
    <s v="Mañana"/>
    <x v="0"/>
    <d v="1899-12-30T16:00:00"/>
    <d v="1899-12-30T16:00:00"/>
    <x v="10"/>
    <m/>
    <n v="28800"/>
    <n v="0"/>
    <m/>
    <s v=""/>
    <s v=""/>
  </r>
  <r>
    <x v="40"/>
    <d v="1899-12-30T06:00:00"/>
    <d v="1899-12-30T14:00:00"/>
    <s v="Mañana"/>
    <x v="0"/>
    <d v="1899-12-30T08:00:00"/>
    <d v="1899-12-30T08:00:00"/>
    <x v="10"/>
    <m/>
    <n v="14400"/>
    <n v="0"/>
    <m/>
    <s v=""/>
    <s v=""/>
  </r>
  <r>
    <x v="40"/>
    <d v="1899-12-30T17:15:00"/>
    <d v="1899-12-30T19:45:00"/>
    <s v="Tarde"/>
    <x v="3"/>
    <s v=""/>
    <d v="1899-12-30T02:30:00"/>
    <x v="10"/>
    <m/>
    <s v=""/>
    <s v=""/>
    <m/>
    <d v="1899-12-30T02:30:00"/>
    <s v=""/>
  </r>
  <r>
    <x v="40"/>
    <d v="1899-12-30T20:00:00"/>
    <d v="1899-12-30T21:40:00"/>
    <s v="Tarde"/>
    <x v="0"/>
    <d v="1899-12-30T01:40:00"/>
    <d v="1899-12-30T01:40:00"/>
    <x v="10"/>
    <m/>
    <n v="3000"/>
    <n v="0"/>
    <m/>
    <s v=""/>
    <s v=""/>
  </r>
  <r>
    <x v="41"/>
    <d v="1899-12-30T07:00:00"/>
    <d v="1899-12-30T12:30:00"/>
    <s v="Mañana"/>
    <x v="0"/>
    <d v="1899-12-30T05:30:00"/>
    <d v="1899-12-30T05:30:00"/>
    <x v="11"/>
    <m/>
    <n v="9900"/>
    <n v="0"/>
    <s v=", se va la luz a las 12.30"/>
    <s v=""/>
    <s v=""/>
  </r>
  <r>
    <x v="41"/>
    <d v="1899-12-30T16:30:00"/>
    <d v="1899-12-30T21:30:00"/>
    <s v="Tarde"/>
    <x v="0"/>
    <d v="1899-12-30T05:00:00"/>
    <d v="1899-12-30T05:00:00"/>
    <x v="11"/>
    <m/>
    <n v="9000"/>
    <n v="0"/>
    <s v=", vuelve a las 16.30"/>
    <s v=""/>
    <s v=""/>
  </r>
  <r>
    <x v="42"/>
    <d v="1899-12-30T06:45:00"/>
    <d v="1899-12-30T10:30:00"/>
    <s v="Mañana"/>
    <x v="0"/>
    <d v="1899-12-30T03:45:00"/>
    <d v="1899-12-30T03:45:00"/>
    <x v="11"/>
    <m/>
    <n v="6750"/>
    <n v="0"/>
    <m/>
    <s v=""/>
    <s v=""/>
  </r>
  <r>
    <x v="42"/>
    <d v="1899-12-30T16:40:00"/>
    <d v="1899-12-30T20:10:00"/>
    <s v="Tarde"/>
    <x v="0"/>
    <d v="1899-12-30T03:30:00"/>
    <d v="1899-12-30T03:30:00"/>
    <x v="11"/>
    <m/>
    <n v="6300"/>
    <n v="0"/>
    <m/>
    <s v=""/>
    <s v=""/>
  </r>
  <r>
    <x v="43"/>
    <d v="1899-12-30T08:00:00"/>
    <d v="1899-12-30T13:30:00"/>
    <s v="Mañana"/>
    <x v="0"/>
    <d v="1899-12-30T05:30:00"/>
    <d v="1899-12-30T05:30:00"/>
    <x v="11"/>
    <m/>
    <n v="9900"/>
    <n v="0"/>
    <m/>
    <s v=""/>
    <s v=""/>
  </r>
  <r>
    <x v="43"/>
    <d v="1899-12-30T14:10:00"/>
    <d v="1899-12-30T20:15:00"/>
    <s v="Tarde"/>
    <x v="0"/>
    <d v="1899-12-30T06:05:00"/>
    <d v="1899-12-30T06:05:00"/>
    <x v="11"/>
    <m/>
    <n v="10950"/>
    <n v="0"/>
    <m/>
    <s v=""/>
    <s v=""/>
  </r>
  <r>
    <x v="44"/>
    <d v="1899-12-30T09:10:00"/>
    <d v="1899-12-30T09:45:00"/>
    <s v="Mañana"/>
    <x v="1"/>
    <s v=""/>
    <d v="1899-12-30T00:35:00"/>
    <x v="11"/>
    <m/>
    <s v=""/>
    <s v=""/>
    <m/>
    <d v="1899-12-30T00:35:00"/>
    <s v=""/>
  </r>
  <r>
    <x v="44"/>
    <d v="1899-12-30T09:45:00"/>
    <d v="1899-12-30T13:30:00"/>
    <s v="Mañana"/>
    <x v="0"/>
    <d v="1899-12-30T03:45:00"/>
    <d v="1899-12-30T03:45:00"/>
    <x v="11"/>
    <m/>
    <n v="6750"/>
    <n v="0"/>
    <m/>
    <s v=""/>
    <s v=""/>
  </r>
  <r>
    <x v="44"/>
    <d v="1899-12-30T07:00:00"/>
    <d v="1899-12-30T09:10:00"/>
    <s v="Mañana"/>
    <x v="0"/>
    <d v="1899-12-30T02:10:00"/>
    <d v="1899-12-30T02:10:00"/>
    <x v="11"/>
    <m/>
    <n v="3899.9999999999995"/>
    <n v="0"/>
    <m/>
    <s v=""/>
    <s v=""/>
  </r>
  <r>
    <x v="45"/>
    <d v="1899-12-30T07:00:00"/>
    <d v="1899-12-30T13:10:00"/>
    <s v="Mañana"/>
    <x v="0"/>
    <d v="1899-12-30T06:10:00"/>
    <d v="1899-12-30T06:10:00"/>
    <x v="12"/>
    <m/>
    <n v="11100"/>
    <n v="0"/>
    <m/>
    <s v=""/>
    <s v=""/>
  </r>
  <r>
    <x v="45"/>
    <d v="1899-12-30T14:15:00"/>
    <d v="1899-12-30T16:20:00"/>
    <s v="Tarde"/>
    <x v="0"/>
    <d v="1899-12-30T02:05:00"/>
    <d v="1899-12-30T02:05:00"/>
    <x v="12"/>
    <m/>
    <n v="3750.0000000000005"/>
    <n v="0"/>
    <m/>
    <s v=""/>
    <s v=""/>
  </r>
  <r>
    <x v="45"/>
    <d v="1899-12-30T16:35:00"/>
    <d v="1899-12-30T16:45:00"/>
    <s v="Tarde"/>
    <x v="1"/>
    <s v=""/>
    <d v="1899-12-30T00:10:00"/>
    <x v="12"/>
    <m/>
    <s v=""/>
    <s v=""/>
    <m/>
    <d v="1899-12-30T00:10:00"/>
    <s v=""/>
  </r>
  <r>
    <x v="45"/>
    <d v="1899-12-30T17:00:00"/>
    <d v="1899-12-30T21:30:00"/>
    <s v="Tarde"/>
    <x v="0"/>
    <d v="1899-12-30T04:30:00"/>
    <d v="1899-12-30T04:30:00"/>
    <x v="12"/>
    <m/>
    <n v="8100"/>
    <n v="0"/>
    <m/>
    <s v=""/>
    <s v=""/>
  </r>
  <r>
    <x v="46"/>
    <d v="1899-12-30T06:15:00"/>
    <d v="1899-12-30T13:20:00"/>
    <s v="Mañana"/>
    <x v="0"/>
    <d v="1899-12-30T07:05:00"/>
    <d v="1899-12-30T07:05:00"/>
    <x v="12"/>
    <m/>
    <n v="12750"/>
    <n v="0"/>
    <m/>
    <s v=""/>
    <s v=""/>
  </r>
  <r>
    <x v="46"/>
    <d v="1899-12-30T14:35:00"/>
    <d v="1899-12-30T15:00:00"/>
    <s v="Tarde"/>
    <x v="0"/>
    <d v="1899-12-30T00:25:00"/>
    <d v="1899-12-30T00:25:00"/>
    <x v="12"/>
    <m/>
    <n v="750"/>
    <n v="0"/>
    <m/>
    <s v=""/>
    <s v=""/>
  </r>
  <r>
    <x v="46"/>
    <d v="1899-12-30T15:15:00"/>
    <d v="1899-12-30T15:35:00"/>
    <s v="Tarde"/>
    <x v="1"/>
    <s v=""/>
    <d v="1899-12-30T00:20:00"/>
    <x v="12"/>
    <m/>
    <s v=""/>
    <s v=""/>
    <m/>
    <d v="1899-12-30T00:20:00"/>
    <s v=""/>
  </r>
  <r>
    <x v="47"/>
    <d v="1899-12-30T06:30:00"/>
    <d v="1899-12-30T11:30:00"/>
    <s v="Mañana"/>
    <x v="0"/>
    <d v="1899-12-30T05:00:00"/>
    <d v="1899-12-30T05:00:00"/>
    <x v="12"/>
    <m/>
    <n v="9000"/>
    <n v="0"/>
    <m/>
    <s v=""/>
    <s v=""/>
  </r>
  <r>
    <x v="47"/>
    <d v="1899-12-30T11:30:00"/>
    <d v="1899-12-30T12:15:00"/>
    <s v="Mañana"/>
    <x v="1"/>
    <s v=""/>
    <d v="1899-12-30T00:45:00"/>
    <x v="12"/>
    <m/>
    <s v=""/>
    <s v=""/>
    <m/>
    <d v="1899-12-30T00:45:00"/>
    <s v=""/>
  </r>
  <r>
    <x v="47"/>
    <d v="1899-12-30T12:15:00"/>
    <d v="1899-12-30T13:30:00"/>
    <s v="Mañana"/>
    <x v="0"/>
    <d v="1899-12-30T01:15:00"/>
    <d v="1899-12-30T01:15:00"/>
    <x v="12"/>
    <m/>
    <n v="2250"/>
    <n v="0"/>
    <m/>
    <s v=""/>
    <s v=""/>
  </r>
  <r>
    <x v="47"/>
    <d v="1899-12-30T14:05:00"/>
    <d v="1899-12-30T21:30:00"/>
    <s v="Tarde"/>
    <x v="0"/>
    <d v="1899-12-30T07:25:00"/>
    <d v="1899-12-30T07:25:00"/>
    <x v="12"/>
    <m/>
    <n v="13350"/>
    <n v="0"/>
    <m/>
    <s v=""/>
    <s v=""/>
  </r>
  <r>
    <x v="48"/>
    <d v="1899-12-30T07:00:00"/>
    <d v="1899-12-30T09:50:00"/>
    <s v="Mañana"/>
    <x v="0"/>
    <d v="1899-12-30T02:50:00"/>
    <d v="1899-12-30T02:50:00"/>
    <x v="12"/>
    <m/>
    <n v="5100"/>
    <n v="0"/>
    <m/>
    <s v=""/>
    <s v=""/>
  </r>
  <r>
    <x v="48"/>
    <d v="1899-12-30T14:15:00"/>
    <d v="1899-12-30T21:15:00"/>
    <s v="Tarde"/>
    <x v="0"/>
    <d v="1899-12-30T07:00:00"/>
    <d v="1899-12-30T07:00:00"/>
    <x v="12"/>
    <m/>
    <n v="12600"/>
    <n v="0"/>
    <m/>
    <s v=""/>
    <s v=""/>
  </r>
  <r>
    <x v="49"/>
    <d v="1899-12-30T15:00:00"/>
    <d v="1899-12-30T21:30:00"/>
    <s v="Tarde"/>
    <x v="0"/>
    <d v="1899-12-30T06:30:00"/>
    <d v="1899-12-30T06:30:00"/>
    <x v="12"/>
    <m/>
    <n v="11700"/>
    <n v="0"/>
    <m/>
    <s v=""/>
    <s v=""/>
  </r>
  <r>
    <x v="50"/>
    <d v="1899-12-30T06:30:00"/>
    <d v="1899-12-30T10:00:00"/>
    <s v="Mañana"/>
    <x v="0"/>
    <d v="1899-12-30T03:30:00"/>
    <d v="1899-12-30T03:30:00"/>
    <x v="13"/>
    <m/>
    <n v="6300"/>
    <n v="0"/>
    <m/>
    <s v=""/>
    <s v=""/>
  </r>
  <r>
    <x v="50"/>
    <d v="1899-12-30T16:45:00"/>
    <d v="1899-12-30T21:30:00"/>
    <s v="Tarde"/>
    <x v="0"/>
    <d v="1899-12-30T04:45:00"/>
    <d v="1899-12-30T04:45:00"/>
    <x v="13"/>
    <m/>
    <n v="8550"/>
    <n v="0"/>
    <m/>
    <s v=""/>
    <s v=""/>
  </r>
  <r>
    <x v="51"/>
    <d v="1899-12-30T06:30:00"/>
    <d v="1899-12-30T13:30:00"/>
    <s v="Mañana"/>
    <x v="0"/>
    <d v="1899-12-30T07:00:00"/>
    <d v="1899-12-30T07:00:00"/>
    <x v="13"/>
    <m/>
    <n v="12600"/>
    <n v="0"/>
    <m/>
    <s v=""/>
    <s v=""/>
  </r>
  <r>
    <x v="51"/>
    <d v="1899-12-30T14:15:00"/>
    <d v="1899-12-30T14:50:00"/>
    <s v="Tarde"/>
    <x v="0"/>
    <d v="1899-12-30T00:35:00"/>
    <d v="1899-12-30T00:35:00"/>
    <x v="13"/>
    <m/>
    <n v="1050"/>
    <n v="0"/>
    <m/>
    <s v=""/>
    <s v=""/>
  </r>
  <r>
    <x v="51"/>
    <d v="1899-12-30T15:00:00"/>
    <d v="1899-12-30T15:10:00"/>
    <s v="Tarde"/>
    <x v="1"/>
    <s v=""/>
    <d v="1899-12-30T00:10:00"/>
    <x v="13"/>
    <m/>
    <s v=""/>
    <s v=""/>
    <m/>
    <d v="1899-12-30T00:10:00"/>
    <s v=""/>
  </r>
  <r>
    <x v="51"/>
    <d v="1899-12-30T15:10:00"/>
    <d v="1899-12-30T21:30:00"/>
    <s v="Tarde"/>
    <x v="0"/>
    <d v="1899-12-30T06:20:00"/>
    <d v="1899-12-30T06:20:00"/>
    <x v="13"/>
    <m/>
    <n v="11400"/>
    <n v="0"/>
    <m/>
    <s v=""/>
    <s v=""/>
  </r>
  <r>
    <x v="52"/>
    <d v="1899-12-30T06:20:00"/>
    <d v="1899-12-30T11:00:00"/>
    <s v="Mañana"/>
    <x v="0"/>
    <d v="1899-12-30T04:40:00"/>
    <d v="1899-12-30T04:40:00"/>
    <x v="13"/>
    <m/>
    <n v="8400"/>
    <n v="0"/>
    <m/>
    <s v=""/>
    <s v=""/>
  </r>
  <r>
    <x v="52"/>
    <d v="1899-12-30T11:35:00"/>
    <d v="1899-12-30T12:30:00"/>
    <s v="Mañana"/>
    <x v="1"/>
    <s v=""/>
    <d v="1899-12-30T00:55:00"/>
    <x v="13"/>
    <m/>
    <s v=""/>
    <s v=""/>
    <m/>
    <d v="1899-12-30T00:55:00"/>
    <s v=""/>
  </r>
  <r>
    <x v="52"/>
    <d v="1899-12-30T12:30:00"/>
    <d v="1899-12-30T13:40:00"/>
    <s v="Mañana"/>
    <x v="0"/>
    <d v="1899-12-30T01:10:00"/>
    <d v="1899-12-30T01:10:00"/>
    <x v="13"/>
    <m/>
    <n v="2100"/>
    <n v="0"/>
    <m/>
    <s v=""/>
    <s v=""/>
  </r>
  <r>
    <x v="52"/>
    <d v="1899-12-30T14:15:00"/>
    <d v="1899-12-30T21:15:00"/>
    <s v="Tarde"/>
    <x v="0"/>
    <d v="1899-12-30T07:00:00"/>
    <d v="1899-12-30T07:00:00"/>
    <x v="13"/>
    <m/>
    <n v="12600"/>
    <n v="0"/>
    <m/>
    <s v=""/>
    <s v=""/>
  </r>
  <r>
    <x v="53"/>
    <d v="1899-12-30T06:20:00"/>
    <d v="1899-12-30T10:10:00"/>
    <s v="Mañana"/>
    <x v="0"/>
    <d v="1899-12-30T03:50:00"/>
    <d v="1899-12-30T03:50:00"/>
    <x v="13"/>
    <m/>
    <n v="6900"/>
    <n v="0"/>
    <m/>
    <s v=""/>
    <s v=""/>
  </r>
  <r>
    <x v="53"/>
    <d v="1899-12-30T10:10:00"/>
    <d v="1899-12-30T14:00:00"/>
    <s v="Mañana"/>
    <x v="2"/>
    <s v=""/>
    <d v="1899-12-30T03:50:00"/>
    <x v="13"/>
    <m/>
    <s v=""/>
    <s v=""/>
    <m/>
    <d v="1899-12-30T03:50:00"/>
    <s v=""/>
  </r>
  <r>
    <x v="53"/>
    <d v="1899-12-30T14:00:00"/>
    <d v="1899-12-30T22:00:00"/>
    <s v="Tarde"/>
    <x v="2"/>
    <s v=""/>
    <d v="1899-12-30T08:00:00"/>
    <x v="13"/>
    <m/>
    <s v=""/>
    <s v=""/>
    <m/>
    <d v="1899-12-30T08:00:00"/>
    <s v=""/>
  </r>
  <r>
    <x v="54"/>
    <d v="1899-12-30T06:10:00"/>
    <d v="1899-12-30T10:00:00"/>
    <s v="Mañana"/>
    <x v="2"/>
    <s v=""/>
    <d v="1899-12-30T03:50:00"/>
    <x v="13"/>
    <m/>
    <s v=""/>
    <s v=""/>
    <m/>
    <d v="1899-12-30T03:50:00"/>
    <s v=""/>
  </r>
  <r>
    <x v="54"/>
    <d v="1899-12-30T10:00:00"/>
    <d v="1899-12-30T14:00:00"/>
    <s v="Mañana"/>
    <x v="3"/>
    <s v=""/>
    <d v="1899-12-30T04:00:00"/>
    <x v="13"/>
    <m/>
    <s v=""/>
    <s v=""/>
    <m/>
    <d v="1899-12-30T04:00:00"/>
    <s v=""/>
  </r>
  <r>
    <x v="54"/>
    <d v="1899-12-30T14:15:00"/>
    <d v="1899-12-30T21:30:00"/>
    <s v="Tarde"/>
    <x v="0"/>
    <d v="1899-12-30T07:15:00"/>
    <d v="1899-12-30T07:15:00"/>
    <x v="13"/>
    <m/>
    <n v="13050"/>
    <n v="0"/>
    <m/>
    <s v=""/>
    <s v=""/>
  </r>
  <r>
    <x v="55"/>
    <d v="1899-12-30T06:30:00"/>
    <d v="1899-12-30T09:30:00"/>
    <s v="Mañana"/>
    <x v="0"/>
    <d v="1899-12-30T03:00:00"/>
    <d v="1899-12-30T03:00:00"/>
    <x v="14"/>
    <m/>
    <n v="5400"/>
    <n v="0"/>
    <m/>
    <s v=""/>
    <s v=""/>
  </r>
  <r>
    <x v="55"/>
    <d v="1899-12-30T09:30:00"/>
    <d v="1899-12-30T09:40:00"/>
    <s v="Mañana"/>
    <x v="1"/>
    <s v=""/>
    <d v="1899-12-30T00:10:00"/>
    <x v="14"/>
    <m/>
    <s v=""/>
    <s v=""/>
    <m/>
    <d v="1899-12-30T00:10:00"/>
    <s v=""/>
  </r>
  <r>
    <x v="55"/>
    <d v="1899-12-30T09:40:00"/>
    <d v="1899-12-30T13:40:00"/>
    <s v="Mañana"/>
    <x v="0"/>
    <d v="1899-12-30T04:00:00"/>
    <d v="1899-12-30T04:00:00"/>
    <x v="14"/>
    <m/>
    <n v="7200"/>
    <n v="0"/>
    <m/>
    <s v=""/>
    <s v=""/>
  </r>
  <r>
    <x v="55"/>
    <d v="1899-12-30T14:15:00"/>
    <d v="1899-12-30T19:40:00"/>
    <s v="Tarde"/>
    <x v="0"/>
    <d v="1899-12-30T05:25:00"/>
    <d v="1899-12-30T05:25:00"/>
    <x v="14"/>
    <m/>
    <n v="9750"/>
    <n v="0"/>
    <m/>
    <s v=""/>
    <s v=""/>
  </r>
  <r>
    <x v="56"/>
    <d v="1899-12-30T06:20:00"/>
    <d v="1899-12-30T07:30:00"/>
    <s v="Mañana"/>
    <x v="1"/>
    <s v=""/>
    <d v="1899-12-30T01:10:00"/>
    <x v="14"/>
    <m/>
    <s v=""/>
    <s v=""/>
    <m/>
    <d v="1899-12-30T01:10:00"/>
    <s v=""/>
  </r>
  <r>
    <x v="56"/>
    <d v="1899-12-30T20:10:00"/>
    <d v="1899-12-30T21:30:00"/>
    <s v="Tarde"/>
    <x v="0"/>
    <d v="1899-12-30T01:20:00"/>
    <d v="1899-12-30T01:20:00"/>
    <x v="14"/>
    <m/>
    <n v="2400"/>
    <n v="0"/>
    <m/>
    <s v=""/>
    <s v=""/>
  </r>
  <r>
    <x v="56"/>
    <d v="1899-12-30T08:50:00"/>
    <d v="1899-12-30T13:30:00"/>
    <s v="Mañana"/>
    <x v="0"/>
    <d v="1899-12-30T04:40:00"/>
    <d v="1899-12-30T04:40:00"/>
    <x v="14"/>
    <m/>
    <n v="8400"/>
    <n v="0"/>
    <m/>
    <s v=""/>
    <s v=""/>
  </r>
  <r>
    <x v="56"/>
    <d v="1899-12-30T14:20:00"/>
    <d v="1899-12-30T20:25:00"/>
    <s v="Tarde"/>
    <x v="0"/>
    <d v="1899-12-30T06:05:00"/>
    <d v="1899-12-30T06:05:00"/>
    <x v="14"/>
    <m/>
    <n v="10950"/>
    <n v="0"/>
    <m/>
    <s v=""/>
    <s v=""/>
  </r>
  <r>
    <x v="57"/>
    <m/>
    <m/>
    <s v="Mañana"/>
    <x v="4"/>
    <d v="1899-12-30T03:40:00"/>
    <d v="1899-12-30T00:00:00"/>
    <x v="14"/>
    <m/>
    <n v="6600"/>
    <n v="0"/>
    <m/>
    <d v="1899-12-30T00:00:00"/>
    <s v=""/>
  </r>
  <r>
    <x v="57"/>
    <d v="1899-12-30T06:20:00"/>
    <d v="1899-12-30T10:00:00"/>
    <s v="Mañana"/>
    <x v="0"/>
    <d v="1899-12-30T03:40:00"/>
    <d v="1899-12-30T03:40:00"/>
    <x v="14"/>
    <m/>
    <n v="6600"/>
    <n v="0"/>
    <m/>
    <s v=""/>
    <s v=""/>
  </r>
  <r>
    <x v="58"/>
    <d v="1899-12-30T14:15:00"/>
    <d v="1899-12-30T22:20:00"/>
    <s v="Tarde"/>
    <x v="0"/>
    <d v="1899-12-30T08:05:00"/>
    <d v="1899-12-30T08:05:00"/>
    <x v="14"/>
    <m/>
    <n v="14550.000000000002"/>
    <n v="0"/>
    <m/>
    <s v=""/>
    <s v=""/>
  </r>
  <r>
    <x v="59"/>
    <d v="1899-12-30T06:45:00"/>
    <d v="1899-12-30T13:30:00"/>
    <s v="Mañana"/>
    <x v="0"/>
    <d v="1899-12-30T06:45:00"/>
    <d v="1899-12-30T06:45:00"/>
    <x v="14"/>
    <m/>
    <n v="12150"/>
    <n v="0"/>
    <m/>
    <s v=""/>
    <s v=""/>
  </r>
  <r>
    <x v="59"/>
    <m/>
    <m/>
    <s v="Mañana"/>
    <x v="4"/>
    <d v="1899-12-30T03:30:00"/>
    <d v="1899-12-30T00:00:00"/>
    <x v="14"/>
    <m/>
    <n v="6300"/>
    <n v="0"/>
    <m/>
    <d v="1899-12-30T00:00:00"/>
    <s v=""/>
  </r>
  <r>
    <x v="59"/>
    <d v="1899-12-30T18:50:00"/>
    <d v="1899-12-30T21:30:00"/>
    <s v="Tarde"/>
    <x v="0"/>
    <d v="1899-12-30T02:40:00"/>
    <d v="1899-12-30T02:40:00"/>
    <x v="14"/>
    <m/>
    <n v="4800"/>
    <n v="0"/>
    <m/>
    <s v=""/>
    <s v=""/>
  </r>
  <r>
    <x v="60"/>
    <d v="1899-12-30T06:00:00"/>
    <d v="1899-12-30T12:30:00"/>
    <s v="Mañana"/>
    <x v="0"/>
    <d v="1899-12-30T06:30:00"/>
    <d v="1899-12-30T06:30:00"/>
    <x v="15"/>
    <m/>
    <n v="11700"/>
    <n v="0"/>
    <m/>
    <s v=""/>
    <s v=""/>
  </r>
  <r>
    <x v="60"/>
    <d v="1899-12-30T14:30:00"/>
    <d v="1899-12-30T21:30:00"/>
    <s v="Tarde"/>
    <x v="0"/>
    <d v="1899-12-30T07:00:00"/>
    <d v="1899-12-30T07:00:00"/>
    <x v="15"/>
    <m/>
    <n v="12600"/>
    <n v="0"/>
    <m/>
    <s v=""/>
    <s v=""/>
  </r>
  <r>
    <x v="61"/>
    <d v="1899-12-30T06:25:00"/>
    <d v="1899-12-30T09:10:00"/>
    <s v="Mañana"/>
    <x v="0"/>
    <d v="1899-12-30T02:45:00"/>
    <d v="1899-12-30T02:45:00"/>
    <x v="15"/>
    <m/>
    <n v="4950"/>
    <n v="0"/>
    <m/>
    <s v=""/>
    <s v=""/>
  </r>
  <r>
    <x v="61"/>
    <d v="1899-12-30T14:20:00"/>
    <d v="1899-12-30T21:30:00"/>
    <s v="Tarde"/>
    <x v="0"/>
    <d v="1899-12-30T07:10:00"/>
    <d v="1899-12-30T07:10:00"/>
    <x v="15"/>
    <m/>
    <n v="12900"/>
    <n v="0"/>
    <m/>
    <s v=""/>
    <s v=""/>
  </r>
  <r>
    <x v="62"/>
    <d v="1899-12-30T14:00:00"/>
    <d v="1899-12-30T16:00:00"/>
    <s v="Tarde"/>
    <x v="0"/>
    <d v="1899-12-30T02:00:00"/>
    <d v="1899-12-30T02:00:00"/>
    <x v="15"/>
    <m/>
    <n v="3600"/>
    <n v="0"/>
    <m/>
    <s v=""/>
    <s v=""/>
  </r>
  <r>
    <x v="62"/>
    <d v="1899-12-30T16:40:00"/>
    <d v="1899-12-30T21:30:00"/>
    <s v="Tarde"/>
    <x v="0"/>
    <d v="1899-12-30T04:50:00"/>
    <d v="1899-12-30T04:50:00"/>
    <x v="15"/>
    <m/>
    <n v="8700"/>
    <n v="0"/>
    <m/>
    <s v=""/>
    <s v=""/>
  </r>
  <r>
    <x v="63"/>
    <d v="1899-12-30T06:30:00"/>
    <d v="1899-12-30T13:35:00"/>
    <s v="Mañana"/>
    <x v="0"/>
    <d v="1899-12-30T07:05:00"/>
    <d v="1899-12-30T07:05:00"/>
    <x v="15"/>
    <m/>
    <n v="12750"/>
    <n v="0"/>
    <m/>
    <s v=""/>
    <s v=""/>
  </r>
  <r>
    <x v="63"/>
    <d v="1899-12-30T14:20:00"/>
    <d v="1899-12-30T17:00:00"/>
    <s v="Tarde"/>
    <x v="0"/>
    <d v="1899-12-30T02:40:00"/>
    <d v="1899-12-30T02:40:00"/>
    <x v="15"/>
    <m/>
    <n v="4800"/>
    <n v="0"/>
    <m/>
    <s v=""/>
    <s v=""/>
  </r>
  <r>
    <x v="63"/>
    <d v="1899-12-30T19:00:00"/>
    <d v="1899-12-30T20:15:00"/>
    <s v="Tarde"/>
    <x v="0"/>
    <d v="1899-12-30T01:15:00"/>
    <d v="1899-12-30T01:15:00"/>
    <x v="15"/>
    <m/>
    <n v="2250"/>
    <n v="0"/>
    <m/>
    <s v=""/>
    <s v=""/>
  </r>
  <r>
    <x v="64"/>
    <d v="1899-12-30T06:50:00"/>
    <d v="1899-12-30T13:45:00"/>
    <s v="Mañana"/>
    <x v="0"/>
    <d v="1899-12-30T06:55:00"/>
    <d v="1899-12-30T06:55:00"/>
    <x v="15"/>
    <m/>
    <n v="12450"/>
    <n v="0"/>
    <m/>
    <s v=""/>
    <s v=""/>
  </r>
  <r>
    <x v="65"/>
    <d v="1899-12-30T17:20:00"/>
    <d v="1899-12-30T21:15:00"/>
    <s v="Tarde"/>
    <x v="0"/>
    <d v="1899-12-30T03:55:00"/>
    <d v="1899-12-30T03:55:00"/>
    <x v="16"/>
    <m/>
    <n v="7050"/>
    <n v="0"/>
    <m/>
    <s v=""/>
    <s v=""/>
  </r>
  <r>
    <x v="66"/>
    <d v="1899-12-30T07:45:00"/>
    <d v="1899-12-30T09:55:00"/>
    <s v="Mañana"/>
    <x v="0"/>
    <d v="1899-12-30T02:10:00"/>
    <d v="1899-12-30T02:10:00"/>
    <x v="16"/>
    <m/>
    <n v="3899.9999999999995"/>
    <n v="0"/>
    <m/>
    <s v=""/>
    <s v=""/>
  </r>
  <r>
    <x v="66"/>
    <d v="1899-12-30T10:15:00"/>
    <d v="1899-12-30T10:30:00"/>
    <s v="Mañana"/>
    <x v="1"/>
    <s v=""/>
    <d v="1899-12-30T00:15:00"/>
    <x v="16"/>
    <m/>
    <s v=""/>
    <s v=""/>
    <m/>
    <d v="1899-12-30T00:15:00"/>
    <s v=""/>
  </r>
  <r>
    <x v="66"/>
    <d v="1899-12-30T11:20:00"/>
    <d v="1899-12-30T14:00:00"/>
    <s v="Mañana"/>
    <x v="0"/>
    <d v="1899-12-30T02:40:00"/>
    <d v="1899-12-30T02:40:00"/>
    <x v="16"/>
    <m/>
    <n v="4800"/>
    <n v="0"/>
    <m/>
    <s v=""/>
    <s v=""/>
  </r>
  <r>
    <x v="66"/>
    <d v="1899-12-30T14:15:00"/>
    <d v="1899-12-30T17:05:00"/>
    <s v="Tarde"/>
    <x v="0"/>
    <d v="1899-12-30T02:50:00"/>
    <d v="1899-12-30T02:50:00"/>
    <x v="16"/>
    <m/>
    <n v="5100"/>
    <n v="0"/>
    <m/>
    <s v=""/>
    <s v=""/>
  </r>
  <r>
    <x v="66"/>
    <d v="1899-12-30T15:20:00"/>
    <d v="1899-12-30T19:20:00"/>
    <s v="Tarde"/>
    <x v="0"/>
    <d v="1899-12-30T04:00:00"/>
    <d v="1899-12-30T04:00:00"/>
    <x v="16"/>
    <m/>
    <n v="7200"/>
    <n v="0"/>
    <m/>
    <s v=""/>
    <s v=""/>
  </r>
  <r>
    <x v="67"/>
    <d v="1899-12-30T08:00:00"/>
    <d v="1899-12-30T12:00:00"/>
    <s v="Mañana"/>
    <x v="0"/>
    <d v="1899-12-30T04:00:00"/>
    <d v="1899-12-30T04:00:00"/>
    <x v="16"/>
    <m/>
    <n v="7200"/>
    <n v="0"/>
    <m/>
    <s v=""/>
    <s v=""/>
  </r>
  <r>
    <x v="67"/>
    <d v="1899-12-30T13:20:00"/>
    <d v="1899-12-30T13:35:00"/>
    <s v="Mañana"/>
    <x v="1"/>
    <s v=""/>
    <d v="1899-12-30T00:15:00"/>
    <x v="16"/>
    <m/>
    <s v=""/>
    <s v=""/>
    <m/>
    <d v="1899-12-30T00:15:00"/>
    <s v=""/>
  </r>
  <r>
    <x v="67"/>
    <d v="1899-12-30T13:35:00"/>
    <d v="1899-12-30T14:00:00"/>
    <s v="Mañana"/>
    <x v="0"/>
    <d v="1899-12-30T00:25:00"/>
    <d v="1899-12-30T00:25:00"/>
    <x v="16"/>
    <m/>
    <n v="750"/>
    <n v="0"/>
    <m/>
    <s v=""/>
    <s v=""/>
  </r>
  <r>
    <x v="67"/>
    <d v="1899-12-30T14:15:00"/>
    <d v="1899-12-30T17:00:00"/>
    <s v="Tarde"/>
    <x v="0"/>
    <d v="1899-12-30T02:45:00"/>
    <d v="1899-12-30T02:45:00"/>
    <x v="16"/>
    <m/>
    <n v="4950"/>
    <n v="0"/>
    <m/>
    <s v=""/>
    <s v=""/>
  </r>
  <r>
    <x v="67"/>
    <d v="1899-12-30T19:48:00"/>
    <d v="1899-12-30T20:00:00"/>
    <s v="Tarde"/>
    <x v="1"/>
    <s v=""/>
    <d v="1899-12-30T00:12:00"/>
    <x v="16"/>
    <m/>
    <s v=""/>
    <s v=""/>
    <m/>
    <d v="1899-12-30T00:12:00"/>
    <s v=""/>
  </r>
  <r>
    <x v="67"/>
    <d v="1899-12-30T20:00:00"/>
    <d v="1899-12-30T21:10:00"/>
    <s v="Tarde"/>
    <x v="0"/>
    <d v="1899-12-30T01:10:00"/>
    <d v="1899-12-30T01:10:00"/>
    <x v="16"/>
    <m/>
    <n v="2100"/>
    <n v="0"/>
    <m/>
    <s v=""/>
    <s v=""/>
  </r>
  <r>
    <x v="68"/>
    <d v="1899-12-30T06:30:00"/>
    <d v="1899-12-30T19:50:00"/>
    <s v="Mañana"/>
    <x v="2"/>
    <s v=""/>
    <d v="1899-12-30T13:20:00"/>
    <x v="17"/>
    <m/>
    <s v=""/>
    <s v=""/>
    <m/>
    <d v="1899-12-30T13:20:00"/>
    <s v=""/>
  </r>
  <r>
    <x v="68"/>
    <d v="1899-12-30T20:35:00"/>
    <d v="1899-12-30T22:00:00"/>
    <s v="Tarde"/>
    <x v="3"/>
    <s v=""/>
    <d v="1899-12-30T01:25:00"/>
    <x v="17"/>
    <m/>
    <s v=""/>
    <s v=""/>
    <m/>
    <d v="1899-12-30T01:25:00"/>
    <s v=""/>
  </r>
  <r>
    <x v="68"/>
    <d v="1899-12-30T06:00:00"/>
    <d v="1899-12-30T10:15:00"/>
    <s v="Mañana"/>
    <x v="3"/>
    <s v=""/>
    <d v="1899-12-30T04:15:00"/>
    <x v="17"/>
    <m/>
    <s v=""/>
    <s v=""/>
    <m/>
    <d v="1899-12-30T04:15:00"/>
    <s v=""/>
  </r>
  <r>
    <x v="69"/>
    <d v="1899-12-30T10:50:00"/>
    <d v="1899-12-30T14:00:00"/>
    <s v="Mañana"/>
    <x v="0"/>
    <d v="1899-12-30T03:10:00"/>
    <d v="1899-12-30T03:10:00"/>
    <x v="17"/>
    <m/>
    <n v="5700"/>
    <n v="0"/>
    <m/>
    <s v=""/>
    <s v=""/>
  </r>
  <r>
    <x v="69"/>
    <d v="1899-12-30T14:20:00"/>
    <d v="1899-12-30T17:10:00"/>
    <s v="Tarde"/>
    <x v="0"/>
    <d v="1899-12-30T02:50:00"/>
    <d v="1899-12-30T02:50:00"/>
    <x v="17"/>
    <m/>
    <n v="5100"/>
    <n v="0"/>
    <m/>
    <s v=""/>
    <s v=""/>
  </r>
  <r>
    <x v="69"/>
    <d v="1899-12-30T17:10:00"/>
    <d v="1899-12-30T17:30:00"/>
    <s v="Tarde"/>
    <x v="1"/>
    <s v=""/>
    <d v="1899-12-30T00:20:00"/>
    <x v="17"/>
    <m/>
    <s v=""/>
    <s v=""/>
    <m/>
    <d v="1899-12-30T00:20:00"/>
    <s v=""/>
  </r>
  <r>
    <x v="69"/>
    <d v="1899-12-30T18:25:00"/>
    <d v="1899-12-30T21:10:00"/>
    <s v="Tarde"/>
    <x v="0"/>
    <d v="1899-12-30T02:45:00"/>
    <d v="1899-12-30T02:45:00"/>
    <x v="17"/>
    <m/>
    <n v="4950"/>
    <n v="0"/>
    <m/>
    <s v=""/>
    <s v=""/>
  </r>
  <r>
    <x v="70"/>
    <d v="1899-12-30T06:05:00"/>
    <d v="1899-12-30T06:30:00"/>
    <s v="Mañana"/>
    <x v="1"/>
    <s v=""/>
    <d v="1899-12-30T00:25:00"/>
    <x v="17"/>
    <m/>
    <s v=""/>
    <s v=""/>
    <m/>
    <d v="1899-12-30T00:25:00"/>
    <s v=""/>
  </r>
  <r>
    <x v="70"/>
    <d v="1899-12-30T06:30:00"/>
    <d v="1899-12-30T12:10:00"/>
    <s v="Mañana"/>
    <x v="0"/>
    <d v="1899-12-30T05:40:00"/>
    <d v="1899-12-30T05:40:00"/>
    <x v="17"/>
    <m/>
    <n v="10200"/>
    <n v="0"/>
    <m/>
    <s v=""/>
    <s v=""/>
  </r>
  <r>
    <x v="70"/>
    <d v="1899-12-30T12:15:00"/>
    <d v="1899-12-30T14:00:00"/>
    <s v="Mañana"/>
    <x v="1"/>
    <s v=""/>
    <d v="1899-12-30T01:45:00"/>
    <x v="17"/>
    <m/>
    <s v=""/>
    <s v=""/>
    <m/>
    <d v="1899-12-30T01:45:00"/>
    <s v=""/>
  </r>
  <r>
    <x v="70"/>
    <d v="1899-12-30T14:10:00"/>
    <d v="1899-12-30T20:10:00"/>
    <s v="Tarde"/>
    <x v="0"/>
    <d v="1899-12-30T06:00:00"/>
    <d v="1899-12-30T06:00:00"/>
    <x v="17"/>
    <m/>
    <n v="10800"/>
    <n v="0"/>
    <m/>
    <s v=""/>
    <s v=""/>
  </r>
  <r>
    <x v="71"/>
    <d v="1899-12-30T06:15:00"/>
    <d v="1899-12-30T06:45:00"/>
    <s v="Mañana"/>
    <x v="1"/>
    <s v=""/>
    <d v="1899-12-30T00:30:00"/>
    <x v="17"/>
    <m/>
    <s v=""/>
    <s v=""/>
    <m/>
    <d v="1899-12-30T00:30:00"/>
    <s v=""/>
  </r>
  <r>
    <x v="71"/>
    <d v="1899-12-30T06:45:00"/>
    <d v="1899-12-30T12:20:00"/>
    <s v="Mañana"/>
    <x v="0"/>
    <d v="1899-12-30T05:35:00"/>
    <d v="1899-12-30T05:35:00"/>
    <x v="17"/>
    <m/>
    <n v="10050"/>
    <n v="0"/>
    <m/>
    <s v=""/>
    <s v=""/>
  </r>
  <r>
    <x v="71"/>
    <d v="1899-12-30T13:05:00"/>
    <d v="1899-12-30T13:22:00"/>
    <s v="Mañana"/>
    <x v="1"/>
    <s v=""/>
    <d v="1899-12-30T00:17:00"/>
    <x v="17"/>
    <m/>
    <s v=""/>
    <s v=""/>
    <m/>
    <d v="1899-12-30T00:17:00"/>
    <s v=""/>
  </r>
  <r>
    <x v="71"/>
    <d v="1899-12-30T13:22:00"/>
    <d v="1899-12-30T14:00:00"/>
    <s v="Mañana"/>
    <x v="0"/>
    <d v="1899-12-30T00:38:00"/>
    <d v="1899-12-30T00:38:00"/>
    <x v="17"/>
    <m/>
    <n v="1140"/>
    <n v="0"/>
    <m/>
    <s v=""/>
    <s v=""/>
  </r>
  <r>
    <x v="71"/>
    <d v="1899-12-30T14:10:00"/>
    <d v="1899-12-30T19:35:00"/>
    <s v="Tarde"/>
    <x v="0"/>
    <d v="1899-12-30T05:25:00"/>
    <d v="1899-12-30T05:25:00"/>
    <x v="17"/>
    <m/>
    <n v="9750"/>
    <n v="0"/>
    <m/>
    <s v=""/>
    <s v=""/>
  </r>
  <r>
    <x v="72"/>
    <d v="1899-12-30T09:15:00"/>
    <d v="1899-12-30T13:00:00"/>
    <s v="Mañana"/>
    <x v="3"/>
    <s v=""/>
    <d v="1899-12-30T03:45:00"/>
    <x v="18"/>
    <m/>
    <s v=""/>
    <s v=""/>
    <m/>
    <d v="1899-12-30T03:45:00"/>
    <s v=""/>
  </r>
  <r>
    <x v="72"/>
    <d v="1899-12-30T14:45:00"/>
    <d v="1899-12-30T19:45:00"/>
    <s v="Tarde"/>
    <x v="0"/>
    <d v="1899-12-30T05:00:00"/>
    <d v="1899-12-30T05:00:00"/>
    <x v="18"/>
    <m/>
    <n v="9000"/>
    <n v="0"/>
    <m/>
    <s v=""/>
    <s v=""/>
  </r>
  <r>
    <x v="73"/>
    <d v="1899-12-30T07:00:00"/>
    <d v="1899-12-30T07:45:00"/>
    <s v="Mañana"/>
    <x v="0"/>
    <d v="1899-12-30T00:45:00"/>
    <d v="1899-12-30T00:45:00"/>
    <x v="18"/>
    <m/>
    <n v="1350"/>
    <n v="0"/>
    <m/>
    <s v=""/>
    <s v=""/>
  </r>
  <r>
    <x v="73"/>
    <d v="1899-12-30T08:00:00"/>
    <d v="1899-12-30T08:30:00"/>
    <s v="Mañana"/>
    <x v="1"/>
    <s v=""/>
    <d v="1899-12-30T00:30:00"/>
    <x v="18"/>
    <m/>
    <s v=""/>
    <s v=""/>
    <m/>
    <d v="1899-12-30T00:30:00"/>
    <s v=""/>
  </r>
  <r>
    <x v="73"/>
    <d v="1899-12-30T09:10:00"/>
    <d v="1899-12-30T13:45:00"/>
    <s v="Mañana"/>
    <x v="0"/>
    <d v="1899-12-30T04:35:00"/>
    <d v="1899-12-30T04:35:00"/>
    <x v="18"/>
    <m/>
    <n v="8250"/>
    <n v="0"/>
    <m/>
    <s v=""/>
    <s v=""/>
  </r>
  <r>
    <x v="73"/>
    <d v="1899-12-30T14:15:00"/>
    <d v="1899-12-30T19:50:00"/>
    <s v="Tarde"/>
    <x v="0"/>
    <d v="1899-12-30T05:35:00"/>
    <d v="1899-12-30T05:35:00"/>
    <x v="18"/>
    <m/>
    <n v="10050"/>
    <n v="0"/>
    <m/>
    <s v=""/>
    <s v=""/>
  </r>
  <r>
    <x v="74"/>
    <d v="1899-12-30T06:15:00"/>
    <d v="1899-12-30T10:00:00"/>
    <s v="Mañana"/>
    <x v="2"/>
    <s v=""/>
    <d v="1899-12-30T03:45:00"/>
    <x v="18"/>
    <m/>
    <s v=""/>
    <s v=""/>
    <m/>
    <d v="1899-12-30T03:45:00"/>
    <s v=""/>
  </r>
  <r>
    <x v="74"/>
    <d v="1899-12-30T11:00:00"/>
    <d v="1899-12-30T14:00:00"/>
    <s v="Mañana"/>
    <x v="3"/>
    <s v=""/>
    <d v="1899-12-30T03:00:00"/>
    <x v="18"/>
    <m/>
    <s v=""/>
    <s v=""/>
    <m/>
    <d v="1899-12-30T03:00:00"/>
    <s v=""/>
  </r>
  <r>
    <x v="74"/>
    <d v="1899-12-30T14:20:00"/>
    <d v="1899-12-30T17:15:00"/>
    <s v="Tarde"/>
    <x v="3"/>
    <s v=""/>
    <d v="1899-12-30T02:55:00"/>
    <x v="18"/>
    <m/>
    <s v=""/>
    <s v=""/>
    <m/>
    <d v="1899-12-30T02:55:00"/>
    <s v=""/>
  </r>
  <r>
    <x v="75"/>
    <d v="1899-12-30T08:00:00"/>
    <d v="1899-12-30T13:40:00"/>
    <s v="Mañana"/>
    <x v="0"/>
    <d v="1899-12-30T05:40:00"/>
    <d v="1899-12-30T05:40:00"/>
    <x v="19"/>
    <n v="3924"/>
    <n v="10200"/>
    <n v="0.38470588235294118"/>
    <s v="1H DE PARO"/>
    <s v=""/>
    <s v=""/>
  </r>
  <r>
    <x v="75"/>
    <d v="1899-12-30T14:15:00"/>
    <d v="1899-12-30T21:30:00"/>
    <s v="Tarde"/>
    <x v="0"/>
    <d v="1899-12-30T07:15:00"/>
    <d v="1899-12-30T07:15:00"/>
    <x v="19"/>
    <n v="5658"/>
    <n v="13050"/>
    <n v="0.43356321839080458"/>
    <m/>
    <s v=""/>
    <s v=""/>
  </r>
  <r>
    <x v="76"/>
    <d v="1899-12-30T06:30:00"/>
    <d v="1899-12-30T07:40:00"/>
    <s v="Mañana"/>
    <x v="0"/>
    <d v="1899-12-30T01:10:00"/>
    <d v="1899-12-30T01:10:00"/>
    <x v="19"/>
    <n v="822"/>
    <n v="2100"/>
    <n v="0.3914285714285714"/>
    <m/>
    <s v=""/>
    <s v=""/>
  </r>
  <r>
    <x v="76"/>
    <d v="1899-12-30T07:40:00"/>
    <d v="1899-12-30T08:20:00"/>
    <s v="Mañana"/>
    <x v="1"/>
    <s v=""/>
    <d v="1899-12-30T00:40:00"/>
    <x v="19"/>
    <m/>
    <s v=""/>
    <s v=""/>
    <m/>
    <d v="1899-12-30T00:40:00"/>
    <s v=""/>
  </r>
  <r>
    <x v="76"/>
    <d v="1899-12-30T08:20:00"/>
    <d v="1899-12-30T13:30:00"/>
    <s v="Mañana"/>
    <x v="0"/>
    <d v="1899-12-30T05:10:00"/>
    <d v="1899-12-30T05:10:00"/>
    <x v="19"/>
    <n v="4140"/>
    <n v="9300"/>
    <n v="0.44516129032258067"/>
    <m/>
    <s v=""/>
    <s v=""/>
  </r>
  <r>
    <x v="76"/>
    <d v="1899-12-30T14:15:00"/>
    <d v="1899-12-30T20:25:00"/>
    <s v="Tarde"/>
    <x v="0"/>
    <d v="1899-12-30T06:10:00"/>
    <d v="1899-12-30T06:10:00"/>
    <x v="19"/>
    <n v="5760"/>
    <n v="11100"/>
    <n v="0.51891891891891895"/>
    <s v="552 ACUMULADO"/>
    <s v=""/>
    <s v=""/>
  </r>
  <r>
    <x v="77"/>
    <d v="1899-12-30T07:00:00"/>
    <d v="1899-12-30T07:20:00"/>
    <s v="Mañana"/>
    <x v="1"/>
    <s v=""/>
    <d v="1899-12-30T00:20:00"/>
    <x v="19"/>
    <m/>
    <s v=""/>
    <s v=""/>
    <m/>
    <d v="1899-12-30T00:20:00"/>
    <s v=""/>
  </r>
  <r>
    <x v="77"/>
    <d v="1899-12-30T07:20:00"/>
    <d v="1899-12-30T13:30:00"/>
    <s v="Mañana"/>
    <x v="0"/>
    <d v="1899-12-30T06:10:00"/>
    <d v="1899-12-30T06:10:00"/>
    <x v="19"/>
    <n v="4864"/>
    <n v="11100"/>
    <n v="0.43819819819819822"/>
    <s v="PROBLEMAS AIRE COMPRIMIDO"/>
    <s v=""/>
    <s v=""/>
  </r>
  <r>
    <x v="77"/>
    <d v="1899-12-30T14:10:00"/>
    <d v="1899-12-30T18:00:00"/>
    <s v="Tarde"/>
    <x v="0"/>
    <d v="1899-12-30T03:50:00"/>
    <d v="1899-12-30T03:50:00"/>
    <x v="19"/>
    <n v="6192"/>
    <n v="6900"/>
    <n v="0.8973913043478261"/>
    <m/>
    <s v=""/>
    <s v=""/>
  </r>
  <r>
    <x v="77"/>
    <d v="1899-12-30T18:45:00"/>
    <d v="1899-12-30T19:30:00"/>
    <s v="Tarde"/>
    <x v="1"/>
    <s v=""/>
    <d v="1899-12-30T00:45:00"/>
    <x v="19"/>
    <m/>
    <s v=""/>
    <s v=""/>
    <m/>
    <d v="1899-12-30T00:45:00"/>
    <s v=""/>
  </r>
  <r>
    <x v="77"/>
    <d v="1899-12-30T19:30:00"/>
    <d v="1899-12-30T21:20:00"/>
    <s v="Tarde"/>
    <x v="0"/>
    <d v="1899-12-30T01:50:00"/>
    <d v="1899-12-30T01:50:00"/>
    <x v="19"/>
    <n v="2142"/>
    <n v="3300"/>
    <n v="0.64909090909090905"/>
    <m/>
    <s v=""/>
    <s v=""/>
  </r>
  <r>
    <x v="78"/>
    <d v="1899-12-30T06:55:00"/>
    <d v="1899-12-30T12:30:00"/>
    <s v="Mañana"/>
    <x v="0"/>
    <d v="1899-12-30T05:35:00"/>
    <d v="1899-12-30T05:35:00"/>
    <x v="20"/>
    <m/>
    <n v="10050"/>
    <n v="0"/>
    <m/>
    <s v=""/>
    <s v=""/>
  </r>
  <r>
    <x v="78"/>
    <d v="1899-12-30T12:30:00"/>
    <d v="1899-12-30T13:00:00"/>
    <s v="Mañana"/>
    <x v="2"/>
    <s v=""/>
    <d v="1899-12-30T00:30:00"/>
    <x v="20"/>
    <m/>
    <s v=""/>
    <s v=""/>
    <s v="LIMPIEZA FIN DE TURNO"/>
    <d v="1899-12-30T00:30:00"/>
    <s v=""/>
  </r>
  <r>
    <x v="78"/>
    <d v="1899-12-30T06:55:00"/>
    <d v="1899-12-30T12:30:00"/>
    <s v="Mañana"/>
    <x v="0"/>
    <d v="1899-12-30T05:35:00"/>
    <d v="1899-12-30T05:35:00"/>
    <x v="20"/>
    <n v="5918"/>
    <n v="10050"/>
    <n v="0.58885572139303488"/>
    <m/>
    <s v=""/>
    <s v=""/>
  </r>
  <r>
    <x v="78"/>
    <d v="1899-12-30T14:10:00"/>
    <d v="1899-12-30T16:15:00"/>
    <s v="Tarde"/>
    <x v="0"/>
    <d v="1899-12-30T02:05:00"/>
    <d v="1899-12-30T02:05:00"/>
    <x v="20"/>
    <n v="1998"/>
    <n v="3750.0000000000005"/>
    <n v="0.53279999999999994"/>
    <s v="SE PARA POR FALTA AIRE COMPRIMIDO"/>
    <s v=""/>
    <s v=""/>
  </r>
  <r>
    <x v="79"/>
    <d v="1899-12-30T11:25:00"/>
    <d v="1899-12-30T11:50:00"/>
    <s v="Mañana"/>
    <x v="0"/>
    <d v="1899-12-30T00:25:00"/>
    <d v="1899-12-30T00:25:00"/>
    <x v="20"/>
    <n v="650"/>
    <n v="750"/>
    <n v="0.8666666666666667"/>
    <s v="SE INICA TARDE POR FALTA AIRE COMPRIMIDOS"/>
    <s v=""/>
    <s v=""/>
  </r>
  <r>
    <x v="79"/>
    <d v="1899-12-30T12:40:00"/>
    <d v="1899-12-30T12:50:00"/>
    <s v="Mañana"/>
    <x v="1"/>
    <s v=""/>
    <d v="1899-12-30T00:10:00"/>
    <x v="20"/>
    <m/>
    <s v=""/>
    <s v=""/>
    <m/>
    <d v="1899-12-30T00:10:00"/>
    <s v=""/>
  </r>
  <r>
    <x v="79"/>
    <d v="1899-12-30T12:50:00"/>
    <d v="1899-12-30T13:30:00"/>
    <s v="Mañana"/>
    <x v="0"/>
    <d v="1899-12-30T00:40:00"/>
    <d v="1899-12-30T00:40:00"/>
    <x v="20"/>
    <n v="576"/>
    <n v="1200"/>
    <n v="0.48"/>
    <m/>
    <s v=""/>
    <s v=""/>
  </r>
  <r>
    <x v="79"/>
    <d v="1899-12-30T14:10:00"/>
    <d v="1899-12-30T21:30:00"/>
    <s v="Tarde"/>
    <x v="0"/>
    <d v="1899-12-30T07:20:00"/>
    <d v="1899-12-30T07:20:00"/>
    <x v="20"/>
    <n v="9486"/>
    <n v="13200"/>
    <n v="0.71863636363636363"/>
    <m/>
    <s v=""/>
    <s v=""/>
  </r>
  <r>
    <x v="80"/>
    <d v="1899-12-30T06:40:00"/>
    <d v="1899-12-30T07:15:00"/>
    <s v="Mañana"/>
    <x v="0"/>
    <d v="1899-12-30T00:35:00"/>
    <d v="1899-12-30T00:35:00"/>
    <x v="20"/>
    <n v="426"/>
    <n v="1050"/>
    <n v="0.40571428571428569"/>
    <m/>
    <s v=""/>
    <s v=""/>
  </r>
  <r>
    <x v="80"/>
    <d v="1899-12-30T07:25:00"/>
    <d v="1899-12-30T07:50:00"/>
    <s v="Mañana"/>
    <x v="1"/>
    <s v=""/>
    <d v="1899-12-30T00:25:00"/>
    <x v="20"/>
    <m/>
    <s v=""/>
    <s v=""/>
    <m/>
    <d v="1899-12-30T00:25:00"/>
    <s v=""/>
  </r>
  <r>
    <x v="80"/>
    <d v="1899-12-30T08:00:00"/>
    <d v="1899-12-30T13:30:00"/>
    <s v="Mañana"/>
    <x v="0"/>
    <d v="1899-12-30T05:30:00"/>
    <d v="1899-12-30T05:30:00"/>
    <x v="20"/>
    <n v="4776"/>
    <n v="9900"/>
    <n v="0.48242424242424242"/>
    <m/>
    <s v=""/>
    <s v=""/>
  </r>
  <r>
    <x v="80"/>
    <d v="1899-12-30T14:15:00"/>
    <d v="1899-12-30T19:40:00"/>
    <s v="Tarde"/>
    <x v="0"/>
    <d v="1899-12-30T05:25:00"/>
    <d v="1899-12-30T05:25:00"/>
    <x v="20"/>
    <n v="5712"/>
    <n v="9750"/>
    <n v="0.58584615384615379"/>
    <m/>
    <s v=""/>
    <s v=""/>
  </r>
  <r>
    <x v="80"/>
    <d v="1899-12-30T19:40:00"/>
    <d v="1899-12-30T20:45:00"/>
    <s v="Tarde"/>
    <x v="1"/>
    <s v=""/>
    <d v="1899-12-30T01:05:00"/>
    <x v="20"/>
    <m/>
    <s v=""/>
    <s v=""/>
    <m/>
    <d v="1899-12-30T01:05:00"/>
    <s v=""/>
  </r>
  <r>
    <x v="80"/>
    <d v="1899-12-30T20:45:00"/>
    <d v="1899-12-30T21:30:00"/>
    <s v="Tarde"/>
    <x v="0"/>
    <d v="1899-12-30T00:45:00"/>
    <d v="1899-12-30T00:45:00"/>
    <x v="20"/>
    <n v="786"/>
    <n v="1350"/>
    <n v="0.5822222222222222"/>
    <m/>
    <s v=""/>
    <s v=""/>
  </r>
  <r>
    <x v="81"/>
    <d v="1899-12-30T07:00:00"/>
    <d v="1899-12-30T12:55:00"/>
    <s v="Mañana"/>
    <x v="0"/>
    <d v="1899-12-30T05:55:00"/>
    <d v="1899-12-30T05:55:00"/>
    <x v="20"/>
    <n v="5850"/>
    <n v="10650"/>
    <n v="0.54929577464788737"/>
    <m/>
    <s v=""/>
    <s v=""/>
  </r>
  <r>
    <x v="81"/>
    <d v="1899-12-30T14:20:00"/>
    <d v="1899-12-30T17:15:00"/>
    <s v="Tarde"/>
    <x v="0"/>
    <d v="1899-12-30T02:55:00"/>
    <d v="1899-12-30T02:55:00"/>
    <x v="20"/>
    <n v="3798"/>
    <n v="5250"/>
    <n v="0.72342857142857142"/>
    <m/>
    <s v=""/>
    <s v=""/>
  </r>
  <r>
    <x v="81"/>
    <d v="1899-12-30T17:15:00"/>
    <d v="1899-12-30T17:40:00"/>
    <s v="Tarde"/>
    <x v="1"/>
    <s v=""/>
    <d v="1899-12-30T00:25:00"/>
    <x v="20"/>
    <m/>
    <s v=""/>
    <s v=""/>
    <m/>
    <d v="1899-12-30T00:25:00"/>
    <s v=""/>
  </r>
  <r>
    <x v="81"/>
    <d v="1899-12-30T17:40:00"/>
    <d v="1899-12-30T21:20:00"/>
    <s v="Tarde"/>
    <x v="0"/>
    <d v="1899-12-30T03:40:00"/>
    <d v="1899-12-30T03:40:00"/>
    <x v="20"/>
    <n v="3336"/>
    <n v="6600"/>
    <n v="0.50545454545454549"/>
    <m/>
    <s v=""/>
    <s v=""/>
  </r>
  <r>
    <x v="82"/>
    <d v="1899-12-30T06:55:00"/>
    <d v="1899-12-30T12:55:00"/>
    <s v="Mañana"/>
    <x v="0"/>
    <d v="1899-12-30T06:00:00"/>
    <d v="1899-12-30T06:00:00"/>
    <x v="20"/>
    <n v="7140"/>
    <n v="10800"/>
    <n v="0.66111111111111109"/>
    <s v="PARADAS POR FALTA COMP,AL FINAL CF AL 180"/>
    <m/>
    <s v=""/>
  </r>
  <r>
    <x v="83"/>
    <d v="1899-12-30T14:45:00"/>
    <d v="1899-12-30T21:30:00"/>
    <s v="Tarde"/>
    <x v="0"/>
    <d v="1899-12-30T06:45:00"/>
    <d v="1899-12-30T06:45:00"/>
    <x v="21"/>
    <n v="10920"/>
    <n v="12150"/>
    <n v="0.89876543209876547"/>
    <m/>
    <s v=""/>
    <s v=""/>
  </r>
  <r>
    <x v="84"/>
    <d v="1899-12-30T06:25:00"/>
    <d v="1899-12-30T13:30:00"/>
    <s v="Mañana"/>
    <x v="0"/>
    <d v="1899-12-30T07:05:00"/>
    <d v="1899-12-30T07:05:00"/>
    <x v="21"/>
    <n v="8580"/>
    <n v="12750"/>
    <n v="0.67294117647058826"/>
    <s v="FALTA DE AIRE"/>
    <s v=""/>
    <s v=""/>
  </r>
  <r>
    <x v="84"/>
    <d v="1899-12-30T13:30:00"/>
    <d v="1899-12-30T14:00:00"/>
    <s v="Mañana"/>
    <x v="1"/>
    <s v=""/>
    <d v="1899-12-30T00:30:00"/>
    <x v="21"/>
    <m/>
    <s v=""/>
    <s v=""/>
    <m/>
    <d v="1899-12-30T00:30:00"/>
    <s v=""/>
  </r>
  <r>
    <x v="84"/>
    <d v="1899-12-30T14:15:00"/>
    <d v="1899-12-30T15:00:00"/>
    <s v="Tarde"/>
    <x v="1"/>
    <s v=""/>
    <d v="1899-12-30T00:45:00"/>
    <x v="21"/>
    <m/>
    <s v=""/>
    <s v=""/>
    <m/>
    <d v="1899-12-30T00:45:00"/>
    <s v=""/>
  </r>
  <r>
    <x v="84"/>
    <d v="1899-12-30T15:00:00"/>
    <d v="1899-12-30T21:30:00"/>
    <s v="Tarde"/>
    <x v="0"/>
    <d v="1899-12-30T06:30:00"/>
    <d v="1899-12-30T06:30:00"/>
    <x v="21"/>
    <n v="11760"/>
    <n v="11700"/>
    <n v="1.0051282051282051"/>
    <m/>
    <s v=""/>
    <s v="SI"/>
  </r>
  <r>
    <x v="85"/>
    <d v="1899-12-30T06:40:00"/>
    <d v="1899-12-30T11:15:00"/>
    <s v="Mañana"/>
    <x v="0"/>
    <d v="1899-12-30T04:35:00"/>
    <d v="1899-12-30T04:35:00"/>
    <x v="21"/>
    <n v="7890"/>
    <n v="8250"/>
    <n v="0.95636363636363642"/>
    <m/>
    <s v=""/>
    <s v=""/>
  </r>
  <r>
    <x v="85"/>
    <d v="1899-12-30T11:25:00"/>
    <d v="1899-12-30T11:45:00"/>
    <s v="Mañana"/>
    <x v="1"/>
    <s v=""/>
    <d v="1899-12-30T00:20:00"/>
    <x v="21"/>
    <m/>
    <s v=""/>
    <s v=""/>
    <m/>
    <d v="1899-12-30T00:20:00"/>
    <s v=""/>
  </r>
  <r>
    <x v="85"/>
    <d v="1899-12-30T11:45:00"/>
    <d v="1899-12-30T13:40:00"/>
    <s v="Mañana"/>
    <x v="0"/>
    <d v="1899-12-30T01:55:00"/>
    <d v="1899-12-30T01:55:00"/>
    <x v="21"/>
    <n v="4104"/>
    <n v="3450"/>
    <n v="1.1895652173913043"/>
    <m/>
    <s v=""/>
    <s v="SI"/>
  </r>
  <r>
    <x v="85"/>
    <d v="1899-12-30T14:15:00"/>
    <d v="1899-12-30T21:30:00"/>
    <s v="Tarde"/>
    <x v="0"/>
    <d v="1899-12-30T07:15:00"/>
    <d v="1899-12-30T07:15:00"/>
    <x v="21"/>
    <n v="12468"/>
    <n v="13050"/>
    <n v="0.9554022988505747"/>
    <m/>
    <s v=""/>
    <s v=""/>
  </r>
  <r>
    <x v="86"/>
    <d v="1899-12-30T06:45:00"/>
    <d v="1899-12-30T08:30:00"/>
    <s v="Mañana"/>
    <x v="0"/>
    <d v="1899-12-30T01:45:00"/>
    <d v="1899-12-30T01:45:00"/>
    <x v="21"/>
    <n v="3084"/>
    <n v="3150"/>
    <n v="0.97904761904761906"/>
    <s v="FALTA DE COMPRIMIDOS"/>
    <s v=""/>
    <s v=""/>
  </r>
  <r>
    <x v="86"/>
    <d v="1899-12-30T15:00:00"/>
    <d v="1899-12-30T21:30:00"/>
    <s v="Tarde"/>
    <x v="0"/>
    <d v="1899-12-30T06:30:00"/>
    <d v="1899-12-30T06:30:00"/>
    <x v="21"/>
    <n v="8058"/>
    <n v="11700"/>
    <n v="0.68871794871794867"/>
    <s v="FALTA COMPRIMIDOS"/>
    <s v=""/>
    <s v=""/>
  </r>
  <r>
    <x v="87"/>
    <d v="1899-12-30T06:30:00"/>
    <d v="1899-12-30T07:30:00"/>
    <s v="Mañana"/>
    <x v="0"/>
    <d v="1899-12-30T01:00:00"/>
    <d v="1899-12-30T01:00:00"/>
    <x v="21"/>
    <n v="2000"/>
    <n v="1800"/>
    <n v="1.1111111111111112"/>
    <s v="FALTA DE COMPRIMIDOS"/>
    <s v=""/>
    <s v="SI"/>
  </r>
  <r>
    <x v="87"/>
    <d v="1899-12-30T08:30:00"/>
    <d v="1899-12-30T10:10:00"/>
    <s v="Mañana"/>
    <x v="0"/>
    <d v="1899-12-30T01:40:00"/>
    <d v="1899-12-30T01:40:00"/>
    <x v="21"/>
    <n v="3217"/>
    <n v="3000"/>
    <n v="1.0723333333333334"/>
    <m/>
    <s v=""/>
    <s v="SI"/>
  </r>
  <r>
    <x v="88"/>
    <d v="1899-12-30T18:30:00"/>
    <d v="1899-12-30T20:40:00"/>
    <s v="Tarde"/>
    <x v="0"/>
    <d v="1899-12-30T02:10:00"/>
    <d v="1899-12-30T02:10:00"/>
    <x v="22"/>
    <n v="2946"/>
    <n v="3899.9999999999995"/>
    <n v="0.75538461538461543"/>
    <m/>
    <s v=""/>
    <s v=""/>
  </r>
  <r>
    <x v="89"/>
    <d v="1899-12-30T06:20:00"/>
    <d v="1899-12-30T14:00:00"/>
    <s v="Mañana"/>
    <x v="2"/>
    <s v=""/>
    <d v="1899-12-30T07:40:00"/>
    <x v="22"/>
    <m/>
    <s v=""/>
    <s v=""/>
    <m/>
    <d v="1899-12-30T07:40:00"/>
    <s v=""/>
  </r>
  <r>
    <x v="89"/>
    <d v="1899-12-30T14:00:00"/>
    <d v="1899-12-30T19:30:00"/>
    <s v="Tarde"/>
    <x v="2"/>
    <s v=""/>
    <d v="1899-12-30T05:30:00"/>
    <x v="22"/>
    <m/>
    <s v=""/>
    <s v=""/>
    <m/>
    <d v="1899-12-30T05:30:00"/>
    <s v=""/>
  </r>
  <r>
    <x v="90"/>
    <d v="1899-12-30T12:40:00"/>
    <d v="1899-12-30T13:50:00"/>
    <s v="Mañana"/>
    <x v="0"/>
    <d v="1899-12-30T01:10:00"/>
    <d v="1899-12-30T01:10:00"/>
    <x v="22"/>
    <n v="984"/>
    <n v="2100"/>
    <n v="0.46857142857142858"/>
    <m/>
    <s v=""/>
    <s v=""/>
  </r>
  <r>
    <x v="90"/>
    <d v="1899-12-30T14:15:00"/>
    <d v="1899-12-30T21:30:00"/>
    <s v="Tarde"/>
    <x v="0"/>
    <d v="1899-12-30T07:15:00"/>
    <d v="1899-12-30T07:15:00"/>
    <x v="22"/>
    <n v="8807"/>
    <n v="13050"/>
    <n v="0.67486590038314176"/>
    <m/>
    <s v=""/>
    <s v=""/>
  </r>
  <r>
    <x v="91"/>
    <d v="1899-12-30T06:55:00"/>
    <d v="1899-12-30T09:15:00"/>
    <s v="Mañana"/>
    <x v="0"/>
    <d v="1899-12-30T02:20:00"/>
    <d v="1899-12-30T02:20:00"/>
    <x v="22"/>
    <n v="4326"/>
    <n v="4200"/>
    <n v="1.03"/>
    <m/>
    <s v=""/>
    <s v="SI"/>
  </r>
  <r>
    <x v="91"/>
    <d v="1899-12-30T09:15:00"/>
    <d v="1899-12-30T13:30:00"/>
    <s v="Mañana"/>
    <x v="0"/>
    <d v="1899-12-30T04:15:00"/>
    <d v="1899-12-30T04:15:00"/>
    <x v="22"/>
    <n v="7734"/>
    <n v="7650"/>
    <n v="1.0109803921568628"/>
    <m/>
    <s v=""/>
    <s v="SI"/>
  </r>
  <r>
    <x v="91"/>
    <d v="1899-12-30T14:15:00"/>
    <d v="1899-12-30T15:55:00"/>
    <s v="Tarde"/>
    <x v="0"/>
    <d v="1899-12-30T01:40:00"/>
    <d v="1899-12-30T01:40:00"/>
    <x v="22"/>
    <n v="3228"/>
    <n v="3000"/>
    <n v="1.0760000000000001"/>
    <m/>
    <s v=""/>
    <s v="SI"/>
  </r>
  <r>
    <x v="91"/>
    <d v="1899-12-30T16:10:00"/>
    <d v="1899-12-30T22:00:00"/>
    <s v="Tarde"/>
    <x v="2"/>
    <s v=""/>
    <d v="1899-12-30T05:50:00"/>
    <x v="22"/>
    <m/>
    <s v=""/>
    <s v=""/>
    <m/>
    <d v="1899-12-30T05:50:00"/>
    <s v=""/>
  </r>
  <r>
    <x v="92"/>
    <d v="1899-12-30T06:15:00"/>
    <d v="1899-12-30T09:15:00"/>
    <s v="Mañana"/>
    <x v="2"/>
    <s v=""/>
    <d v="1899-12-30T03:00:00"/>
    <x v="22"/>
    <m/>
    <s v=""/>
    <s v=""/>
    <m/>
    <d v="1899-12-30T03:00:00"/>
    <s v=""/>
  </r>
  <r>
    <x v="92"/>
    <d v="1899-12-30T09:15:00"/>
    <d v="1899-12-30T12:30:00"/>
    <s v="Mañana"/>
    <x v="3"/>
    <s v=""/>
    <d v="1899-12-30T03:15:00"/>
    <x v="22"/>
    <m/>
    <s v=""/>
    <s v=""/>
    <m/>
    <d v="1899-12-30T03:15:00"/>
    <s v=""/>
  </r>
  <r>
    <x v="93"/>
    <d v="1899-12-30T07:45:00"/>
    <d v="1899-12-30T13:35:00"/>
    <s v="Mañana"/>
    <x v="0"/>
    <d v="1899-12-30T05:50:00"/>
    <d v="1899-12-30T05:50:00"/>
    <x v="23"/>
    <n v="11061"/>
    <n v="10500"/>
    <n v="1.0534285714285714"/>
    <m/>
    <s v=""/>
    <s v="SI"/>
  </r>
  <r>
    <x v="93"/>
    <d v="1899-12-30T13:40:00"/>
    <d v="1899-12-30T14:00:00"/>
    <s v="Mañana"/>
    <x v="1"/>
    <s v=""/>
    <d v="1899-12-30T00:20:00"/>
    <x v="23"/>
    <m/>
    <s v=""/>
    <s v=""/>
    <m/>
    <d v="1899-12-30T00:20:00"/>
    <s v=""/>
  </r>
  <r>
    <x v="93"/>
    <d v="1899-12-30T14:30:00"/>
    <d v="1899-12-30T20:00:00"/>
    <s v="Tarde"/>
    <x v="0"/>
    <d v="1899-12-30T05:30:00"/>
    <d v="1899-12-30T05:30:00"/>
    <x v="23"/>
    <n v="11484"/>
    <n v="9900"/>
    <n v="1.1599999999999999"/>
    <m/>
    <s v=""/>
    <s v="SI"/>
  </r>
  <r>
    <x v="94"/>
    <d v="1899-12-30T06:15:00"/>
    <d v="1899-12-30T06:40:00"/>
    <s v="Mañana"/>
    <x v="1"/>
    <s v=""/>
    <d v="1899-12-30T00:25:00"/>
    <x v="23"/>
    <m/>
    <s v=""/>
    <s v=""/>
    <m/>
    <d v="1899-12-30T00:25:00"/>
    <s v=""/>
  </r>
  <r>
    <x v="94"/>
    <d v="1899-12-30T06:55:00"/>
    <d v="1899-12-30T13:05:00"/>
    <s v="Mañana"/>
    <x v="0"/>
    <d v="1899-12-30T06:10:00"/>
    <d v="1899-12-30T06:10:00"/>
    <x v="23"/>
    <n v="11490"/>
    <n v="11100"/>
    <n v="1.0351351351351352"/>
    <m/>
    <s v=""/>
    <s v="SI"/>
  </r>
  <r>
    <x v="94"/>
    <d v="1899-12-30T13:30:00"/>
    <d v="1899-12-30T13:45:00"/>
    <s v="Mañana"/>
    <x v="1"/>
    <s v=""/>
    <d v="1899-12-30T00:15:00"/>
    <x v="23"/>
    <m/>
    <s v=""/>
    <s v=""/>
    <m/>
    <d v="1899-12-30T00:15:00"/>
    <s v=""/>
  </r>
  <r>
    <x v="94"/>
    <d v="1899-12-30T14:15:00"/>
    <d v="1899-12-30T20:35:00"/>
    <s v="Tarde"/>
    <x v="0"/>
    <d v="1899-12-30T06:20:00"/>
    <d v="1899-12-30T06:20:00"/>
    <x v="23"/>
    <n v="11538"/>
    <n v="11400"/>
    <n v="1.0121052631578948"/>
    <m/>
    <s v=""/>
    <s v="SI"/>
  </r>
  <r>
    <x v="94"/>
    <d v="1899-12-30T20:35:00"/>
    <d v="1899-12-30T21:10:00"/>
    <s v="Tarde"/>
    <x v="1"/>
    <s v=""/>
    <d v="1899-12-30T00:35:00"/>
    <x v="23"/>
    <m/>
    <s v=""/>
    <s v=""/>
    <m/>
    <d v="1899-12-30T00:35:00"/>
    <s v=""/>
  </r>
  <r>
    <x v="94"/>
    <d v="1899-12-30T21:10:00"/>
    <d v="1899-12-30T21:25:00"/>
    <s v="Tarde"/>
    <x v="0"/>
    <d v="1899-12-30T00:15:00"/>
    <d v="1899-12-30T00:15:00"/>
    <x v="23"/>
    <n v="1923"/>
    <n v="450"/>
    <n v="4.2733333333333334"/>
    <m/>
    <s v=""/>
    <s v="SI"/>
  </r>
  <r>
    <x v="95"/>
    <d v="1899-12-30T07:00:00"/>
    <d v="1899-12-30T09:45:00"/>
    <s v="Mañana"/>
    <x v="0"/>
    <d v="1899-12-30T02:45:00"/>
    <d v="1899-12-30T02:45:00"/>
    <x v="23"/>
    <n v="6360"/>
    <n v="4950"/>
    <n v="1.2848484848484849"/>
    <m/>
    <s v=""/>
    <s v="SI"/>
  </r>
  <r>
    <x v="95"/>
    <d v="1899-12-30T10:00:00"/>
    <d v="1899-12-30T10:15:00"/>
    <s v="Mañana"/>
    <x v="1"/>
    <s v=""/>
    <d v="1899-12-30T00:15:00"/>
    <x v="23"/>
    <m/>
    <s v=""/>
    <s v=""/>
    <m/>
    <d v="1899-12-30T00:15:00"/>
    <s v=""/>
  </r>
  <r>
    <x v="95"/>
    <d v="1899-12-30T11:30:00"/>
    <d v="1899-12-30T13:45:00"/>
    <s v="Mañana"/>
    <x v="0"/>
    <d v="1899-12-30T02:15:00"/>
    <d v="1899-12-30T02:15:00"/>
    <x v="23"/>
    <n v="4190"/>
    <n v="4050"/>
    <n v="1.0345679012345679"/>
    <m/>
    <s v=""/>
    <s v="SI"/>
  </r>
  <r>
    <x v="95"/>
    <d v="1899-12-30T14:15:00"/>
    <d v="1899-12-30T15:00:00"/>
    <s v="Tarde"/>
    <x v="0"/>
    <d v="1899-12-30T00:45:00"/>
    <d v="1899-12-30T00:45:00"/>
    <x v="23"/>
    <n v="1053"/>
    <n v="1350"/>
    <n v="0.78"/>
    <m/>
    <s v=""/>
    <s v=""/>
  </r>
  <r>
    <x v="96"/>
    <d v="1899-12-30T06:20:00"/>
    <d v="1899-12-30T06:45:00"/>
    <s v="Mañana"/>
    <x v="0"/>
    <d v="1899-12-30T00:25:00"/>
    <d v="1899-12-30T00:25:00"/>
    <x v="23"/>
    <n v="1073"/>
    <n v="750"/>
    <n v="1.4306666666666668"/>
    <m/>
    <s v=""/>
    <s v="S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ED1B16-69B4-4355-8A92-1ED0731738FF}" name="TablaDinámica1" cacheId="7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F248" firstHeaderRow="0" firstDataRow="1" firstDataCol="4"/>
  <pivotFields count="16">
    <pivotField axis="axisRow" compact="0" numFmtId="14" outline="0"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m="1" x="97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20" outline="0" showAll="0"/>
    <pivotField axis="axisRow" compact="0" numFmtId="1" outline="0" showAll="0">
      <items count="26">
        <item x="6"/>
        <item x="7"/>
        <item x="8"/>
        <item x="9"/>
        <item x="10"/>
        <item x="11"/>
        <item x="12"/>
        <item x="13"/>
        <item x="14"/>
        <item x="15"/>
        <item m="1" x="24"/>
        <item x="16"/>
        <item x="0"/>
        <item x="1"/>
        <item x="2"/>
        <item x="3"/>
        <item x="4"/>
        <item x="5"/>
        <item x="17"/>
        <item x="18"/>
        <item x="19"/>
        <item x="20"/>
        <item x="21"/>
        <item x="22"/>
        <item x="2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4">
    <field x="7"/>
    <field x="15"/>
    <field x="14"/>
    <field x="0"/>
  </rowFields>
  <rowItems count="245">
    <i>
      <x/>
      <x v="3"/>
      <x v="77"/>
      <x v="23"/>
    </i>
    <i t="default" r="2">
      <x v="77"/>
    </i>
    <i r="2">
      <x v="78"/>
      <x v="24"/>
    </i>
    <i t="default" r="2">
      <x v="78"/>
    </i>
    <i r="2">
      <x v="79"/>
      <x v="25"/>
    </i>
    <i t="default" r="2">
      <x v="79"/>
    </i>
    <i r="2">
      <x v="80"/>
      <x v="26"/>
    </i>
    <i t="default" r="2">
      <x v="80"/>
    </i>
    <i r="2">
      <x v="81"/>
      <x v="27"/>
    </i>
    <i t="default" r="2">
      <x v="81"/>
    </i>
    <i t="default" r="1">
      <x v="3"/>
    </i>
    <i t="default">
      <x/>
    </i>
    <i>
      <x v="1"/>
      <x v="3"/>
      <x v="84"/>
      <x v="28"/>
    </i>
    <i t="default" r="2">
      <x v="84"/>
    </i>
    <i r="2">
      <x v="85"/>
      <x v="29"/>
    </i>
    <i t="default" r="2">
      <x v="85"/>
    </i>
    <i r="2">
      <x v="86"/>
      <x v="30"/>
    </i>
    <i t="default" r="2">
      <x v="86"/>
    </i>
    <i r="2">
      <x v="87"/>
      <x v="31"/>
    </i>
    <i t="default" r="2">
      <x v="87"/>
    </i>
    <i r="2">
      <x v="88"/>
      <x v="32"/>
    </i>
    <i t="default" r="2">
      <x v="88"/>
    </i>
    <i t="default" r="1">
      <x v="3"/>
    </i>
    <i t="default">
      <x v="1"/>
    </i>
    <i>
      <x v="2"/>
      <x v="4"/>
      <x v="102"/>
      <x v="33"/>
    </i>
    <i t="default" r="2">
      <x v="102"/>
    </i>
    <i t="default" r="1">
      <x v="4"/>
    </i>
    <i t="default">
      <x v="2"/>
    </i>
    <i>
      <x v="3"/>
      <x v="4"/>
      <x v="105"/>
      <x v="34"/>
    </i>
    <i t="default" r="2">
      <x v="105"/>
    </i>
    <i r="2">
      <x v="106"/>
      <x v="35"/>
    </i>
    <i t="default" r="2">
      <x v="106"/>
    </i>
    <i r="2">
      <x v="107"/>
      <x v="36"/>
    </i>
    <i t="default" r="2">
      <x v="107"/>
    </i>
    <i t="default" r="1">
      <x v="4"/>
    </i>
    <i t="default">
      <x v="3"/>
    </i>
    <i>
      <x v="4"/>
      <x v="4"/>
      <x v="113"/>
      <x v="37"/>
    </i>
    <i t="default" r="2">
      <x v="113"/>
    </i>
    <i r="2">
      <x v="114"/>
      <x v="38"/>
    </i>
    <i t="default" r="2">
      <x v="114"/>
    </i>
    <i r="2">
      <x v="115"/>
      <x v="39"/>
    </i>
    <i t="default" r="2">
      <x v="115"/>
    </i>
    <i r="2">
      <x v="116"/>
      <x v="40"/>
    </i>
    <i t="default" r="2">
      <x v="116"/>
    </i>
    <i t="default" r="1">
      <x v="4"/>
    </i>
    <i t="default">
      <x v="4"/>
    </i>
    <i>
      <x v="5"/>
      <x v="4"/>
      <x v="119"/>
      <x v="41"/>
    </i>
    <i t="default" r="2">
      <x v="119"/>
    </i>
    <i r="2">
      <x v="120"/>
      <x v="42"/>
    </i>
    <i t="default" r="2">
      <x v="120"/>
    </i>
    <i r="2">
      <x v="121"/>
      <x v="43"/>
    </i>
    <i t="default" r="2">
      <x v="121"/>
    </i>
    <i t="default" r="1">
      <x v="4"/>
    </i>
    <i r="1">
      <x v="5"/>
      <x v="123"/>
      <x v="44"/>
    </i>
    <i t="default" r="2">
      <x v="123"/>
    </i>
    <i t="default" r="1">
      <x v="5"/>
    </i>
    <i t="default">
      <x v="5"/>
    </i>
    <i>
      <x v="6"/>
      <x v="5"/>
      <x v="126"/>
      <x v="45"/>
    </i>
    <i t="default" r="2">
      <x v="126"/>
    </i>
    <i r="2">
      <x v="127"/>
      <x v="46"/>
    </i>
    <i t="default" r="2">
      <x v="127"/>
    </i>
    <i r="2">
      <x v="128"/>
      <x v="47"/>
    </i>
    <i t="default" r="2">
      <x v="128"/>
    </i>
    <i r="2">
      <x v="129"/>
      <x v="48"/>
    </i>
    <i t="default" r="2">
      <x v="129"/>
    </i>
    <i r="2">
      <x v="130"/>
      <x v="49"/>
    </i>
    <i t="default" r="2">
      <x v="130"/>
    </i>
    <i t="default" r="1">
      <x v="5"/>
    </i>
    <i t="default">
      <x v="6"/>
    </i>
    <i>
      <x v="7"/>
      <x v="5"/>
      <x v="133"/>
      <x v="50"/>
    </i>
    <i t="default" r="2">
      <x v="133"/>
    </i>
    <i r="2">
      <x v="134"/>
      <x v="51"/>
    </i>
    <i t="default" r="2">
      <x v="134"/>
    </i>
    <i r="2">
      <x v="135"/>
      <x v="52"/>
    </i>
    <i t="default" r="2">
      <x v="135"/>
    </i>
    <i r="2">
      <x v="136"/>
      <x v="53"/>
    </i>
    <i t="default" r="2">
      <x v="136"/>
    </i>
    <i r="2">
      <x v="137"/>
      <x v="54"/>
    </i>
    <i t="default" r="2">
      <x v="137"/>
    </i>
    <i t="default" r="1">
      <x v="5"/>
    </i>
    <i t="default">
      <x v="7"/>
    </i>
    <i>
      <x v="8"/>
      <x v="5"/>
      <x v="140"/>
      <x v="55"/>
    </i>
    <i t="default" r="2">
      <x v="140"/>
    </i>
    <i r="2">
      <x v="141"/>
      <x v="56"/>
    </i>
    <i t="default" r="2">
      <x v="141"/>
    </i>
    <i r="2">
      <x v="142"/>
      <x v="57"/>
    </i>
    <i t="default" r="2">
      <x v="142"/>
    </i>
    <i r="2">
      <x v="143"/>
      <x v="58"/>
    </i>
    <i t="default" r="2">
      <x v="143"/>
    </i>
    <i r="2">
      <x v="144"/>
      <x v="59"/>
    </i>
    <i t="default" r="2">
      <x v="144"/>
    </i>
    <i t="default" r="1">
      <x v="5"/>
    </i>
    <i t="default">
      <x v="8"/>
    </i>
    <i>
      <x v="9"/>
      <x v="5"/>
      <x v="147"/>
      <x v="60"/>
    </i>
    <i t="default" r="2">
      <x v="147"/>
    </i>
    <i r="2">
      <x v="148"/>
      <x v="61"/>
    </i>
    <i t="default" r="2">
      <x v="148"/>
    </i>
    <i r="2">
      <x v="149"/>
      <x v="62"/>
    </i>
    <i t="default" r="2">
      <x v="149"/>
    </i>
    <i r="2">
      <x v="150"/>
      <x v="63"/>
    </i>
    <i t="default" r="2">
      <x v="150"/>
    </i>
    <i r="2">
      <x v="151"/>
      <x v="64"/>
    </i>
    <i t="default" r="2">
      <x v="151"/>
    </i>
    <i t="default" r="1">
      <x v="5"/>
    </i>
    <i t="default">
      <x v="9"/>
    </i>
    <i>
      <x v="11"/>
      <x v="6"/>
      <x v="156"/>
      <x v="65"/>
    </i>
    <i t="default" r="2">
      <x v="156"/>
    </i>
    <i r="2">
      <x v="157"/>
      <x v="66"/>
    </i>
    <i t="default" r="2">
      <x v="157"/>
    </i>
    <i r="2">
      <x v="158"/>
      <x v="67"/>
    </i>
    <i t="default" r="2">
      <x v="158"/>
    </i>
    <i t="default" r="1">
      <x v="6"/>
    </i>
    <i t="default">
      <x v="11"/>
    </i>
    <i>
      <x v="12"/>
      <x v="2"/>
      <x v="35"/>
      <x/>
    </i>
    <i t="default" r="2">
      <x v="35"/>
    </i>
    <i r="2">
      <x v="36"/>
      <x v="1"/>
    </i>
    <i t="default" r="2">
      <x v="36"/>
    </i>
    <i r="2">
      <x v="37"/>
      <x v="2"/>
    </i>
    <i t="default" r="2">
      <x v="37"/>
    </i>
    <i r="2">
      <x v="38"/>
      <x v="3"/>
    </i>
    <i t="default" r="2">
      <x v="38"/>
    </i>
    <i t="default" r="1">
      <x v="2"/>
    </i>
    <i t="default">
      <x v="12"/>
    </i>
    <i>
      <x v="13"/>
      <x v="2"/>
      <x v="41"/>
      <x v="4"/>
    </i>
    <i t="default" r="2">
      <x v="41"/>
    </i>
    <i r="2">
      <x v="42"/>
      <x v="5"/>
    </i>
    <i t="default" r="2">
      <x v="42"/>
    </i>
    <i r="2">
      <x v="43"/>
      <x v="6"/>
    </i>
    <i t="default" r="2">
      <x v="43"/>
    </i>
    <i r="2">
      <x v="44"/>
      <x v="7"/>
    </i>
    <i t="default" r="2">
      <x v="44"/>
    </i>
    <i r="2">
      <x v="45"/>
      <x v="8"/>
    </i>
    <i t="default" r="2">
      <x v="45"/>
    </i>
    <i t="default" r="1">
      <x v="2"/>
    </i>
    <i t="default">
      <x v="13"/>
    </i>
    <i>
      <x v="14"/>
      <x v="2"/>
      <x v="48"/>
      <x v="9"/>
    </i>
    <i t="default" r="2">
      <x v="48"/>
    </i>
    <i r="2">
      <x v="49"/>
      <x v="10"/>
    </i>
    <i t="default" r="2">
      <x v="49"/>
    </i>
    <i r="2">
      <x v="50"/>
      <x v="11"/>
    </i>
    <i t="default" r="2">
      <x v="50"/>
    </i>
    <i r="2">
      <x v="51"/>
      <x v="12"/>
    </i>
    <i t="default" r="2">
      <x v="51"/>
    </i>
    <i t="default" r="1">
      <x v="2"/>
    </i>
    <i t="default">
      <x v="14"/>
    </i>
    <i>
      <x v="15"/>
      <x v="2"/>
      <x v="59"/>
      <x v="13"/>
    </i>
    <i t="default" r="2">
      <x v="59"/>
    </i>
    <i t="default" r="1">
      <x v="2"/>
    </i>
    <i t="default">
      <x v="15"/>
    </i>
    <i>
      <x v="16"/>
      <x v="3"/>
      <x v="63"/>
      <x v="14"/>
    </i>
    <i t="default" r="2">
      <x v="63"/>
    </i>
    <i r="2">
      <x v="64"/>
      <x v="15"/>
    </i>
    <i t="default" r="2">
      <x v="64"/>
    </i>
    <i r="2">
      <x v="65"/>
      <x v="16"/>
    </i>
    <i t="default" r="2">
      <x v="65"/>
    </i>
    <i r="2">
      <x v="66"/>
      <x v="17"/>
    </i>
    <i t="default" r="2">
      <x v="66"/>
    </i>
    <i r="2">
      <x v="67"/>
      <x v="18"/>
    </i>
    <i t="default" r="2">
      <x v="67"/>
    </i>
    <i t="default" r="1">
      <x v="3"/>
    </i>
    <i t="default">
      <x v="16"/>
    </i>
    <i>
      <x v="17"/>
      <x v="3"/>
      <x v="70"/>
      <x v="19"/>
    </i>
    <i t="default" r="2">
      <x v="70"/>
    </i>
    <i r="2">
      <x v="71"/>
      <x v="20"/>
    </i>
    <i t="default" r="2">
      <x v="71"/>
    </i>
    <i r="2">
      <x v="72"/>
      <x v="21"/>
    </i>
    <i t="default" r="2">
      <x v="72"/>
    </i>
    <i r="2">
      <x v="73"/>
      <x v="22"/>
    </i>
    <i t="default" r="2">
      <x v="73"/>
    </i>
    <i t="default" r="1">
      <x v="3"/>
    </i>
    <i t="default">
      <x v="17"/>
    </i>
    <i>
      <x v="18"/>
      <x v="6"/>
      <x v="161"/>
      <x v="68"/>
    </i>
    <i t="default" r="2">
      <x v="161"/>
    </i>
    <i r="2">
      <x v="162"/>
      <x v="69"/>
    </i>
    <i t="default" r="2">
      <x v="162"/>
    </i>
    <i r="2">
      <x v="163"/>
      <x v="70"/>
    </i>
    <i t="default" r="2">
      <x v="163"/>
    </i>
    <i r="2">
      <x v="164"/>
      <x v="71"/>
    </i>
    <i t="default" r="2">
      <x v="164"/>
    </i>
    <i t="default" r="1">
      <x v="6"/>
    </i>
    <i t="default">
      <x v="18"/>
    </i>
    <i>
      <x v="19"/>
      <x v="6"/>
      <x v="169"/>
      <x v="72"/>
    </i>
    <i t="default" r="2">
      <x v="169"/>
    </i>
    <i r="2">
      <x v="170"/>
      <x v="73"/>
    </i>
    <i t="default" r="2">
      <x v="170"/>
    </i>
    <i r="2">
      <x v="172"/>
      <x v="75"/>
    </i>
    <i t="default" r="2">
      <x v="172"/>
    </i>
    <i t="default" r="1">
      <x v="6"/>
    </i>
    <i t="default">
      <x v="19"/>
    </i>
    <i>
      <x v="20"/>
      <x v="6"/>
      <x v="177"/>
      <x v="76"/>
    </i>
    <i t="default" r="2">
      <x v="177"/>
    </i>
    <i r="2">
      <x v="178"/>
      <x v="77"/>
    </i>
    <i t="default" r="2">
      <x v="178"/>
    </i>
    <i r="2">
      <x v="179"/>
      <x v="78"/>
    </i>
    <i t="default" r="2">
      <x v="179"/>
    </i>
    <i t="default" r="1">
      <x v="6"/>
    </i>
    <i t="default">
      <x v="20"/>
    </i>
    <i>
      <x v="21"/>
      <x v="6"/>
      <x v="182"/>
      <x v="79"/>
    </i>
    <i t="default" r="2">
      <x v="182"/>
    </i>
    <i t="default" r="1">
      <x v="6"/>
    </i>
    <i r="1">
      <x v="7"/>
      <x v="183"/>
      <x v="80"/>
    </i>
    <i t="default" r="2">
      <x v="183"/>
    </i>
    <i r="2">
      <x v="184"/>
      <x v="81"/>
    </i>
    <i t="default" r="2">
      <x v="184"/>
    </i>
    <i r="2">
      <x v="185"/>
      <x v="82"/>
    </i>
    <i t="default" r="2">
      <x v="185"/>
    </i>
    <i r="2">
      <x v="186"/>
      <x v="83"/>
    </i>
    <i t="default" r="2">
      <x v="186"/>
    </i>
    <i t="default" r="1">
      <x v="7"/>
    </i>
    <i t="default">
      <x v="21"/>
    </i>
    <i>
      <x v="22"/>
      <x v="7"/>
      <x v="189"/>
      <x v="84"/>
    </i>
    <i t="default" r="2">
      <x v="189"/>
    </i>
    <i r="2">
      <x v="190"/>
      <x v="85"/>
    </i>
    <i t="default" r="2">
      <x v="190"/>
    </i>
    <i r="2">
      <x v="191"/>
      <x v="86"/>
    </i>
    <i t="default" r="2">
      <x v="191"/>
    </i>
    <i r="2">
      <x v="192"/>
      <x v="87"/>
    </i>
    <i t="default" r="2">
      <x v="192"/>
    </i>
    <i r="2">
      <x v="193"/>
      <x v="88"/>
    </i>
    <i t="default" r="2">
      <x v="193"/>
    </i>
    <i t="default" r="1">
      <x v="7"/>
    </i>
    <i t="default">
      <x v="22"/>
    </i>
    <i>
      <x v="23"/>
      <x v="7"/>
      <x v="196"/>
      <x v="89"/>
    </i>
    <i t="default" r="2">
      <x v="196"/>
    </i>
    <i r="2">
      <x v="197"/>
      <x v="90"/>
    </i>
    <i t="default" r="2">
      <x v="197"/>
    </i>
    <i r="2">
      <x v="198"/>
      <x v="91"/>
    </i>
    <i t="default" r="2">
      <x v="198"/>
    </i>
    <i r="2">
      <x v="199"/>
      <x v="92"/>
    </i>
    <i t="default" r="2">
      <x v="199"/>
    </i>
    <i r="2">
      <x v="200"/>
      <x v="93"/>
    </i>
    <i t="default" r="2">
      <x v="200"/>
    </i>
    <i t="default" r="1">
      <x v="7"/>
    </i>
    <i t="default">
      <x v="23"/>
    </i>
    <i>
      <x v="24"/>
      <x v="7"/>
      <x v="203"/>
      <x v="94"/>
    </i>
    <i t="default" r="2">
      <x v="203"/>
    </i>
    <i r="2">
      <x v="204"/>
      <x v="95"/>
    </i>
    <i t="default" r="2">
      <x v="204"/>
    </i>
    <i r="2">
      <x v="205"/>
      <x v="96"/>
    </i>
    <i t="default" r="2">
      <x v="205"/>
    </i>
    <i r="2">
      <x v="207"/>
      <x v="97"/>
    </i>
    <i t="default" r="2">
      <x v="207"/>
    </i>
    <i t="default" r="1">
      <x v="7"/>
    </i>
    <i t="default"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Cuenta de Tiempo producción" fld="5" subtotal="count" baseField="0" baseItem="0" numFmtId="2"/>
    <dataField name="Suma de Tiempo producción" fld="5" baseField="0" baseItem="0"/>
  </dataFields>
  <formats count="3">
    <format dxfId="35">
      <pivotArea outline="0" fieldPosition="0">
        <references count="1">
          <reference field="7" count="0" selected="0"/>
        </references>
      </pivotArea>
    </format>
    <format dxfId="34">
      <pivotArea outline="0" fieldPosition="0">
        <references count="1">
          <reference field="4294967294" count="1" selected="0">
            <x v="0"/>
          </reference>
        </references>
      </pivotArea>
    </format>
    <format dxfId="33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A8FFA8-6BA7-4B7E-9F10-01A4E2C84356}" name="TablaDinámica1" cacheId="7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28" firstHeaderRow="1" firstDataRow="1" firstDataCol="1"/>
  <pivotFields count="16">
    <pivotField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m="1" x="97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showAll="0"/>
    <pivotField showAll="0"/>
    <pivotField showAll="0"/>
    <pivotField showAll="0"/>
    <pivotField dataField="1" showAll="0"/>
    <pivotField numFmtId="20" showAll="0"/>
    <pivotField axis="axisRow" showAll="0">
      <items count="26">
        <item m="1" x="24"/>
        <item x="6"/>
        <item x="7"/>
        <item x="8"/>
        <item x="9"/>
        <item x="10"/>
        <item x="11"/>
        <item x="12"/>
        <item x="13"/>
        <item x="14"/>
        <item x="15"/>
        <item x="16"/>
        <item x="0"/>
        <item x="1"/>
        <item x="2"/>
        <item x="3"/>
        <item x="4"/>
        <item x="5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2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a de Tiempo producción" fld="5" baseField="9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B04FA2-E3AB-4F4C-948B-4E74B3A7F7A4}" name="TablaDinámica2" cacheId="63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">
  <location ref="A3:B27" firstHeaderRow="1" firstDataRow="1" firstDataCol="1" rowPageCount="1" colPageCount="1"/>
  <pivotFields count="14">
    <pivotField numFmtId="14" showAll="0">
      <items count="340"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umFmtId="164" showAll="0"/>
    <pivotField showAll="0"/>
    <pivotField showAll="0"/>
    <pivotField showAll="0"/>
    <pivotField numFmtId="9" showAll="0"/>
    <pivotField showAll="0"/>
    <pivotField showAll="0"/>
    <pivotField axis="axisPage" dataField="1" multipleItemSelectionAllowed="1" showAll="0">
      <items count="105">
        <item x="28"/>
        <item m="1" x="97"/>
        <item m="1" x="98"/>
        <item m="1" x="101"/>
        <item x="37"/>
        <item x="54"/>
        <item m="1" x="100"/>
        <item x="39"/>
        <item x="6"/>
        <item x="49"/>
        <item x="45"/>
        <item x="53"/>
        <item x="58"/>
        <item x="57"/>
        <item x="50"/>
        <item x="41"/>
        <item x="44"/>
        <item m="1" x="99"/>
        <item x="55"/>
        <item x="56"/>
        <item x="42"/>
        <item x="31"/>
        <item x="38"/>
        <item x="59"/>
        <item x="43"/>
        <item x="60"/>
        <item x="46"/>
        <item m="1" x="96"/>
        <item m="1" x="102"/>
        <item x="52"/>
        <item x="27"/>
        <item x="25"/>
        <item x="51"/>
        <item x="47"/>
        <item x="26"/>
        <item m="1" x="103"/>
        <item x="24"/>
        <item x="32"/>
        <item x="48"/>
        <item x="0"/>
        <item x="1"/>
        <item x="2"/>
        <item x="3"/>
        <item x="4"/>
        <item x="5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61"/>
        <item x="62"/>
        <item x="63"/>
        <item x="64"/>
        <item x="65"/>
        <item x="66"/>
        <item x="68"/>
        <item x="69"/>
        <item x="67"/>
        <item x="29"/>
        <item x="30"/>
        <item x="34"/>
        <item x="35"/>
        <item x="36"/>
        <item x="40"/>
        <item x="70"/>
        <item x="71"/>
        <item m="1" x="95"/>
        <item x="33"/>
        <item x="72"/>
        <item m="1" x="93"/>
        <item m="1" x="94"/>
        <item x="74"/>
        <item x="75"/>
        <item x="76"/>
        <item x="77"/>
        <item x="78"/>
        <item x="79"/>
        <item x="80"/>
        <item x="81"/>
        <item m="1" x="90"/>
        <item x="83"/>
        <item x="84"/>
        <item m="1" x="91"/>
        <item m="1" x="92"/>
        <item x="73"/>
        <item x="82"/>
        <item x="85"/>
        <item x="86"/>
        <item x="87"/>
        <item x="88"/>
        <item x="89"/>
        <item t="default"/>
      </items>
    </pivotField>
    <pivotField axis="axisRow" numFmtId="1" showAll="0" sortType="ascending">
      <items count="51">
        <item m="1" x="23"/>
        <item x="1"/>
        <item x="2"/>
        <item x="3"/>
        <item x="4"/>
        <item x="5"/>
        <item x="6"/>
        <item x="7"/>
        <item x="8"/>
        <item m="1" x="24"/>
        <item m="1" x="25"/>
        <item m="1" x="2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x="0"/>
        <item t="default"/>
      </items>
    </pivotField>
    <pivotField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ragToRow="0" dragToCol="0" dragToPage="0" showAll="0" defaultSubtotal="0"/>
  </pivotFields>
  <rowFields count="1">
    <field x="9"/>
  </rowFields>
  <rowItems count="2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49"/>
    </i>
    <i t="grand">
      <x/>
    </i>
  </rowItems>
  <colItems count="1">
    <i/>
  </colItems>
  <pageFields count="1">
    <pageField fld="8" hier="-1"/>
  </pageFields>
  <dataFields count="1">
    <dataField name="Promedio de OEE" fld="8" subtotal="average" baseField="8" baseItem="0"/>
  </dataFields>
  <formats count="1">
    <format dxfId="32">
      <pivotArea outline="0" collapsedLevelsAreSubtotals="1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DB83A0-E5F2-486B-A6B6-006491DBA6FA}" name="TablaDinámica3" cacheId="77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5">
  <location ref="A3:C7" firstHeaderRow="0" firstDataRow="1" firstDataCol="1"/>
  <pivotFields count="16">
    <pivotField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m="1" x="97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showAll="0"/>
    <pivotField showAll="0"/>
    <pivotField showAll="0"/>
    <pivotField axis="axisRow" showAll="0" sortType="descending">
      <items count="9">
        <item x="3"/>
        <item x="1"/>
        <item h="1" m="1" x="7"/>
        <item h="1" m="1" x="6"/>
        <item x="2"/>
        <item x="0"/>
        <item h="1" x="4"/>
        <item h="1" m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20" showAll="0"/>
    <pivotField numFmtId="1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4">
    <i>
      <x v="5"/>
    </i>
    <i>
      <x v="4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Tiempo de no producción" fld="6" baseField="4" baseItem="4" numFmtId="20"/>
    <dataField name="% del total" fld="6" subtotal="count" showDataAs="percentOfTotal" baseField="4" baseItem="0" numFmtId="10"/>
  </dataFields>
  <chartFormats count="8">
    <chartFormat chart="0" format="6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0" format="8" series="1">
      <pivotArea type="data" outline="0" fieldPosition="0">
        <references count="1">
          <reference field="4" count="1" selected="0">
            <x v="3"/>
          </reference>
        </references>
      </pivotArea>
    </chartFormat>
    <chartFormat chart="0" format="9" series="1">
      <pivotArea type="data" outline="0" fieldPosition="0">
        <references count="1">
          <reference field="4" count="1" selected="0">
            <x v="4"/>
          </reference>
        </references>
      </pivotArea>
    </chartFormat>
    <chartFormat chart="0" format="10" series="1">
      <pivotArea type="data" outline="0" fieldPosition="0">
        <references count="1">
          <reference field="4" count="1" selected="0">
            <x v="5"/>
          </reference>
        </references>
      </pivotArea>
    </chartFormat>
    <chartFormat chart="0" format="11" series="1">
      <pivotArea type="data" outline="0" fieldPosition="0">
        <references count="1">
          <reference field="4" count="1" selected="0">
            <x v="6"/>
          </reference>
        </references>
      </pivotArea>
    </chartFormat>
    <chartFormat chart="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38" name="Día">
      <autoFilter ref="A1">
        <filterColumn colId="0">
          <customFilters and="1">
            <customFilter operator="greaterThanOrEqual" val="45748"/>
            <customFilter operator="lessThanOrEqual" val="4577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5A2F63-BAA5-4EDB-8A25-BC78C2DFE5FA}" name="PivotTable1" cacheId="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6">
    <pivotField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m="1" x="97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showAll="0"/>
    <pivotField showAll="0"/>
    <pivotField showAll="0"/>
    <pivotField showAll="0"/>
    <pivotField showAll="0"/>
    <pivotField numFmtId="20" showAll="0"/>
    <pivotField numFmtId="1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_LC_CF_CL1" xr10:uid="{69BBB1A4-269B-4975-BC5B-8AAC27693E38}" sourceName="P/LC/CF/CL">
  <pivotTables>
    <pivotTable tabId="14" name="TablaDinámica3"/>
  </pivotTables>
  <data>
    <tabular pivotCacheId="863522260">
      <items count="8">
        <i x="3" s="1"/>
        <i x="1" s="1"/>
        <i x="2" s="1"/>
        <i x="0" s="1"/>
        <i x="4"/>
        <i x="7" nd="1"/>
        <i x="6" nd="1"/>
        <i x="5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/LC/CF/CL 1" xr10:uid="{5568768B-3EBB-4390-BFB1-BF5657163A85}" cache="SegmentaciónDeDatos_P_LC_CF_CL1" caption="P/LC/CF/CL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46BBAB-68DF-417F-B0D5-2E552219B3EC}" name="Tabla1" displayName="Tabla1" ref="A2:N266" totalsRowShown="0" headerRowDxfId="31">
  <autoFilter ref="A2:N266" xr:uid="{BF46BBAB-68DF-417F-B0D5-2E552219B3EC}"/>
  <tableColumns count="14">
    <tableColumn id="1" xr3:uid="{4EF4F537-46DD-4053-8911-22FC93669EB4}" name="Día" dataDxfId="30"/>
    <tableColumn id="2" xr3:uid="{7356C6D2-13C2-42EA-B721-60C9EAC8A18D}" name="Hora inicio" dataDxfId="29"/>
    <tableColumn id="3" xr3:uid="{452B0549-73BD-462A-94C0-817D690D0982}" name="Hora fin " dataDxfId="28"/>
    <tableColumn id="8" xr3:uid="{DDCE04E6-F267-405E-B15B-D7A56853C628}" name="Turno" dataDxfId="27">
      <calculatedColumnFormula>+IF(Tabla1[[#This Row],[Hora inicio]]&lt;$B$1,"Mañana","Tarde")</calculatedColumnFormula>
    </tableColumn>
    <tableColumn id="4" xr3:uid="{91D534B7-E487-4EA9-B86D-F49BEDC608B1}" name="P/LC/CF/CL"/>
    <tableColumn id="5" xr3:uid="{39C92F22-82A7-418A-A0D8-26E4C5B5E051}" name="Tiempo producción" dataDxfId="26">
      <calculatedColumnFormula>IF(Tabla1[[#This Row],[P/LC/CF/CL]]="P",Tabla1[[#This Row],[Hora fin ]]-Tabla1[[#This Row],[Hora inicio]],"")</calculatedColumnFormula>
    </tableColumn>
    <tableColumn id="11" xr3:uid="{7BE540AD-37CB-4F50-AA88-FEF7EFEC7F4C}" name="Tiempo no producción" dataDxfId="25">
      <calculatedColumnFormula>Tabla1[[#This Row],[Hora fin ]]-Tabla1[[#This Row],[Hora inicio]]</calculatedColumnFormula>
    </tableColumn>
    <tableColumn id="6" xr3:uid="{0DEB2720-659B-4B86-8790-AEFF40EF8C66}" name="Semana" dataDxfId="24">
      <calculatedColumnFormula>WEEKNUM(Tabla1[[#This Row],[Día]])</calculatedColumnFormula>
    </tableColumn>
    <tableColumn id="9" xr3:uid="{4D7A7711-3D07-418E-99C5-5A8E4D3EE3FE}" name="Cantidad producida" dataDxfId="23"/>
    <tableColumn id="10" xr3:uid="{BAA71219-2FE1-42D9-B1C6-84E8594DEFC5}" name="Cantidad teórica" dataDxfId="22">
      <calculatedColumnFormula>IFERROR(((HOUR(Tabla1[[#This Row],[Tiempo producción]])*60+MINUTE(Tabla1[[#This Row],[Tiempo producción]]))/60)*$J$1,"")</calculatedColumnFormula>
    </tableColumn>
    <tableColumn id="12" xr3:uid="{17A97BC8-5B39-4188-91D2-3385B9FB1A6D}" name="Rendimiento" dataDxfId="21" dataCellStyle="Percent">
      <calculatedColumnFormula>IFERROR(Tabla1[[#This Row],[Cantidad producida]]/Tabla1[[#This Row],[Cantidad teórica]],"")</calculatedColumnFormula>
    </tableColumn>
    <tableColumn id="7" xr3:uid="{22F4AF5C-3184-42B9-BB41-AA26276BD147}" name="Observaciones" dataDxfId="20"/>
    <tableColumn id="13" xr3:uid="{4865276D-C6E7-479D-BE2B-88D698046ACF}" name="tiempo no prod" dataDxfId="19">
      <calculatedColumnFormula>IF(Tabla1[[#This Row],[P/LC/CF/CL]]&lt;&gt;"P",Tabla1[[#This Row],[Hora fin ]]-Tabla1[[#This Row],[Hora inicio]],"")</calculatedColumnFormula>
    </tableColumn>
    <tableColumn id="14" xr3:uid="{7BCC2D7B-2757-4FBC-AB92-AEF061231E12}" name="Comprobar" dataDxfId="18">
      <calculatedColumnFormula>IF(Tabla1[[#This Row],[Cantidad producida]]&gt;Tabla1[[#This Row],[Cantidad teórica]],"SI","")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92D8D1-DA55-4B50-83F9-0A34CA837F19}" name="Tabla3" displayName="Tabla3" ref="A2:K343" totalsRowShown="0" headerRowDxfId="17">
  <autoFilter ref="A2:K343" xr:uid="{9392D8D1-DA55-4B50-83F9-0A34CA837F19}"/>
  <tableColumns count="11">
    <tableColumn id="2" xr3:uid="{0E5304F5-C724-46F0-9D7C-0DDDD9ADCBF4}" name="Fecha" dataDxfId="16"/>
    <tableColumn id="10" xr3:uid="{1DA65117-4683-4162-A1F6-748E4EDDDE76}" name="Horas" dataDxfId="15">
      <calculatedColumnFormula>SUMIFS('paradas-disp'!F:F,'paradas-disp'!A:A,Tabla3[[#This Row],[Fecha]])</calculatedColumnFormula>
    </tableColumn>
    <tableColumn id="3" xr3:uid="{5152E371-D6E9-4F2C-BE9F-7F50C4547540}" name="Cantidad producida" dataDxfId="14"/>
    <tableColumn id="4" xr3:uid="{7F016920-AD80-44D4-BD6E-654C0BC0B676}" name="Cantidad teórica" dataDxfId="13">
      <calculatedColumnFormula>IF(Tabla3[[#This Row],[Fecha]]&lt;53,"",IFERROR(((HOUR(Tabla3[[#This Row],[Horas]])*60+MINUTE(Tabla3[[#This Row],[Horas]]))/60)*$D$1,""))</calculatedColumnFormula>
    </tableColumn>
    <tableColumn id="5" xr3:uid="{3DFF7213-76C4-45F5-B222-B4A2EDD34B71}" name="Rendimiento" dataDxfId="12">
      <calculatedColumnFormula>IFERROR(Tabla3[[#This Row],[Cantidad producida]]/Tabla3[[#This Row],[Cantidad teórica]],"")</calculatedColumnFormula>
    </tableColumn>
    <tableColumn id="6" xr3:uid="{5E6E4A8C-0E1D-4BB3-9037-F04B082A2E6A}" name="Disponibilidad" dataDxfId="11">
      <calculatedColumnFormula>IF(Tabla3[[#This Row],[Fecha]]&lt;53,"",IFERROR(Tabla3[[#This Row],[Horas]]/$F$1,""))</calculatedColumnFormula>
    </tableColumn>
    <tableColumn id="7" xr3:uid="{9496CFCA-F2D5-4E7E-A9AF-3BB090CC5223}" name="Fallo calculo disponibilidad" dataDxfId="10">
      <calculatedColumnFormula>IF(Tabla3[[#This Row],[Disponibilidad]]="","",IF(Tabla3[[#This Row],[Disponibilidad]]&gt;1,"NO",""))</calculatedColumnFormula>
    </tableColumn>
    <tableColumn id="1" xr3:uid="{45EB8752-47DE-41B1-ABC2-E1EF7C8B8587}" name="LC" dataDxfId="9">
      <calculatedColumnFormula>IFERROR(IF(VLOOKUP(Tabla3[[#This Row],[Fecha]],Tabla1[[Día]:[P/LC/CF/CL]],5,FALSE)="LC","SI",""),"")</calculatedColumnFormula>
    </tableColumn>
    <tableColumn id="8" xr3:uid="{83D104AC-3F13-405B-B0C8-8BB2204B2096}" name="OEE" dataDxfId="8">
      <calculatedColumnFormula>IFERROR(Tabla3[[#This Row],[Disponibilidad]]*Tabla3[[#This Row],[Rendimiento]], IF(Tabla3[[#This Row],[LC]]="SI", 0, "No"))</calculatedColumnFormula>
    </tableColumn>
    <tableColumn id="11" xr3:uid="{4364B5B4-63F8-41FE-9871-68558DF95FB9}" name="Semana" dataDxfId="7">
      <calculatedColumnFormula>IF(Tabla3[[#This Row],[OEE]]="No","",WEEKNUM(Tabla3[[#This Row],[Fecha]]))</calculatedColumnFormula>
    </tableColumn>
    <tableColumn id="9" xr3:uid="{3B1C77C3-041D-43BD-A373-5EB2FA28C4FD}" name="grafic rend" dataDxfId="6">
      <calculatedColumnFormula>IFERROR(IF(Tabla3[[#This Row],[OEE]]&lt;&gt;"No",Tabla3[[#This Row],[OEE]]/Tabla3[[#This Row],[Disponibilidad]],""),0)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ía1" xr10:uid="{960965DE-D1C9-465E-8104-EB74911694C2}" sourceName="Día">
  <pivotTables>
    <pivotTable tabId="14" name="TablaDinámica3"/>
  </pivotTables>
  <state minimalRefreshVersion="6" lastRefreshVersion="6" pivotCacheId="863522260" filterType="dateBetween">
    <selection startDate="2025-04-01T00:00:00" endDate="2025-04-30T00:00:00"/>
    <bounds startDate="2025-01-01T00:00:00" endDate="2026-01-01T00:00:00"/>
  </state>
</timelineCacheDefinition>
</file>

<file path=xl/timelineCaches/timelineCache2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" xr10:uid="{076AE765-606D-4D68-8C1B-3ED9FB16F351}" sourceName="Fecha">
  <pivotTables>
    <pivotTable tabId="7" name="TablaDinámica2"/>
  </pivotTables>
  <state minimalRefreshVersion="6" lastRefreshVersion="6" pivotCacheId="999723609" filterType="unknown">
    <bounds startDate="2025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" xr10:uid="{A506E670-AC6D-48B1-BAFB-D19BAD6CF98A}" cache="NativeTimeline_Fecha" caption="Fecha" level="2" selectionLevel="2" scrollPosition="2026-05-28T00:00:00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ía 1" xr10:uid="{499A228B-8DD4-4471-8361-A9BBE08B9B51}" cache="NativeTimeline_Día1" caption="Día" level="2" selectionLevel="2" scrollPosition="2025-01-01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Relationship Id="rId4" Type="http://schemas.microsoft.com/office/2011/relationships/timeline" Target="../timelines/timelin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0834F-3F14-4356-8DAF-029007E7CB2D}">
  <dimension ref="A3:F250"/>
  <sheetViews>
    <sheetView topLeftCell="B104" workbookViewId="0">
      <selection activeCell="B8" sqref="B8"/>
    </sheetView>
  </sheetViews>
  <sheetFormatPr defaultColWidth="8.7109375" defaultRowHeight="15" x14ac:dyDescent="0.25"/>
  <cols>
    <col min="1" max="1" width="12.5703125" bestFit="1" customWidth="1"/>
    <col min="2" max="2" width="11.140625" style="6" bestFit="1" customWidth="1"/>
    <col min="3" max="3" width="28.140625" bestFit="1" customWidth="1"/>
    <col min="4" max="4" width="10.42578125" bestFit="1" customWidth="1"/>
    <col min="5" max="5" width="28.5703125" bestFit="1" customWidth="1"/>
    <col min="6" max="6" width="27" bestFit="1" customWidth="1"/>
    <col min="7" max="7" width="24.7109375" bestFit="1" customWidth="1"/>
  </cols>
  <sheetData>
    <row r="3" spans="1:6" x14ac:dyDescent="0.25">
      <c r="A3" s="4" t="s">
        <v>0</v>
      </c>
      <c r="B3" s="4" t="s">
        <v>1</v>
      </c>
      <c r="C3" s="4" t="s">
        <v>2</v>
      </c>
      <c r="D3" s="4" t="s">
        <v>3</v>
      </c>
      <c r="E3" s="6" t="s">
        <v>4</v>
      </c>
      <c r="F3" t="s">
        <v>5</v>
      </c>
    </row>
    <row r="4" spans="1:6" x14ac:dyDescent="0.25">
      <c r="A4" s="8">
        <v>12</v>
      </c>
      <c r="B4" t="s">
        <v>6</v>
      </c>
      <c r="C4" t="s">
        <v>7</v>
      </c>
      <c r="D4" s="2">
        <v>45733</v>
      </c>
      <c r="E4" s="6">
        <v>4</v>
      </c>
      <c r="F4" s="5">
        <v>0.60763888888888884</v>
      </c>
    </row>
    <row r="5" spans="1:6" x14ac:dyDescent="0.25">
      <c r="B5"/>
      <c r="C5" t="s">
        <v>157</v>
      </c>
      <c r="E5" s="6">
        <v>4</v>
      </c>
      <c r="F5" s="5">
        <v>0.60763888888888884</v>
      </c>
    </row>
    <row r="6" spans="1:6" x14ac:dyDescent="0.25">
      <c r="B6"/>
      <c r="C6" t="s">
        <v>8</v>
      </c>
      <c r="D6" s="2">
        <v>45734</v>
      </c>
      <c r="E6" s="6">
        <v>6</v>
      </c>
      <c r="F6" s="5">
        <v>0.58333333333333326</v>
      </c>
    </row>
    <row r="7" spans="1:6" x14ac:dyDescent="0.25">
      <c r="B7"/>
      <c r="C7" t="s">
        <v>158</v>
      </c>
      <c r="E7" s="6">
        <v>6</v>
      </c>
      <c r="F7" s="5">
        <v>0.58333333333333326</v>
      </c>
    </row>
    <row r="8" spans="1:6" x14ac:dyDescent="0.25">
      <c r="B8"/>
      <c r="C8" t="s">
        <v>9</v>
      </c>
      <c r="D8" s="2">
        <v>45735</v>
      </c>
      <c r="E8" s="6">
        <v>4</v>
      </c>
      <c r="F8" s="5">
        <v>0.60763888888888884</v>
      </c>
    </row>
    <row r="9" spans="1:6" x14ac:dyDescent="0.25">
      <c r="B9"/>
      <c r="C9" t="s">
        <v>159</v>
      </c>
      <c r="E9" s="6">
        <v>4</v>
      </c>
      <c r="F9" s="5">
        <v>0.60763888888888884</v>
      </c>
    </row>
    <row r="10" spans="1:6" x14ac:dyDescent="0.25">
      <c r="B10"/>
      <c r="C10" t="s">
        <v>10</v>
      </c>
      <c r="D10" s="2">
        <v>45736</v>
      </c>
      <c r="E10" s="6">
        <v>3</v>
      </c>
      <c r="F10" s="5">
        <v>0.52986111111111112</v>
      </c>
    </row>
    <row r="11" spans="1:6" x14ac:dyDescent="0.25">
      <c r="B11"/>
      <c r="C11" t="s">
        <v>160</v>
      </c>
      <c r="E11" s="6">
        <v>3</v>
      </c>
      <c r="F11" s="5">
        <v>0.52986111111111112</v>
      </c>
    </row>
    <row r="12" spans="1:6" x14ac:dyDescent="0.25">
      <c r="B12"/>
      <c r="C12" t="s">
        <v>11</v>
      </c>
      <c r="D12" s="2">
        <v>45737</v>
      </c>
      <c r="E12" s="6">
        <v>4</v>
      </c>
      <c r="F12" s="5">
        <v>9.375E-2</v>
      </c>
    </row>
    <row r="13" spans="1:6" x14ac:dyDescent="0.25">
      <c r="B13"/>
      <c r="C13" t="s">
        <v>161</v>
      </c>
      <c r="E13" s="6">
        <v>4</v>
      </c>
      <c r="F13" s="5">
        <v>9.375E-2</v>
      </c>
    </row>
    <row r="14" spans="1:6" x14ac:dyDescent="0.25">
      <c r="B14" t="s">
        <v>162</v>
      </c>
      <c r="E14" s="6">
        <v>21</v>
      </c>
      <c r="F14" s="5">
        <v>2.4222222222222221</v>
      </c>
    </row>
    <row r="15" spans="1:6" x14ac:dyDescent="0.25">
      <c r="A15" s="8" t="s">
        <v>163</v>
      </c>
      <c r="B15"/>
      <c r="E15" s="6">
        <v>21</v>
      </c>
      <c r="F15" s="38">
        <v>2.4222222222222221</v>
      </c>
    </row>
    <row r="16" spans="1:6" x14ac:dyDescent="0.25">
      <c r="A16" s="8">
        <v>13</v>
      </c>
      <c r="B16" t="s">
        <v>6</v>
      </c>
      <c r="C16" t="s">
        <v>12</v>
      </c>
      <c r="D16" s="2">
        <v>45740</v>
      </c>
      <c r="E16" s="6">
        <v>3</v>
      </c>
      <c r="F16" s="5">
        <v>0.3888888888888889</v>
      </c>
    </row>
    <row r="17" spans="1:6" x14ac:dyDescent="0.25">
      <c r="B17"/>
      <c r="C17" t="s">
        <v>164</v>
      </c>
      <c r="E17" s="6">
        <v>3</v>
      </c>
      <c r="F17" s="5">
        <v>0.3888888888888889</v>
      </c>
    </row>
    <row r="18" spans="1:6" x14ac:dyDescent="0.25">
      <c r="B18"/>
      <c r="C18" t="s">
        <v>13</v>
      </c>
      <c r="D18" s="2">
        <v>45741</v>
      </c>
      <c r="E18" s="6">
        <v>5</v>
      </c>
      <c r="F18" s="5">
        <v>0.2361111111111111</v>
      </c>
    </row>
    <row r="19" spans="1:6" x14ac:dyDescent="0.25">
      <c r="B19"/>
      <c r="C19" t="s">
        <v>165</v>
      </c>
      <c r="E19" s="6">
        <v>5</v>
      </c>
      <c r="F19" s="5">
        <v>0.2361111111111111</v>
      </c>
    </row>
    <row r="20" spans="1:6" x14ac:dyDescent="0.25">
      <c r="B20"/>
      <c r="C20" t="s">
        <v>14</v>
      </c>
      <c r="D20" s="2">
        <v>45742</v>
      </c>
      <c r="E20" s="6">
        <v>3</v>
      </c>
      <c r="F20" s="5">
        <v>0.46875</v>
      </c>
    </row>
    <row r="21" spans="1:6" x14ac:dyDescent="0.25">
      <c r="B21"/>
      <c r="C21" t="s">
        <v>166</v>
      </c>
      <c r="E21" s="6">
        <v>3</v>
      </c>
      <c r="F21" s="5">
        <v>0.46875</v>
      </c>
    </row>
    <row r="22" spans="1:6" x14ac:dyDescent="0.25">
      <c r="B22"/>
      <c r="C22" t="s">
        <v>15</v>
      </c>
      <c r="D22" s="2">
        <v>45743</v>
      </c>
      <c r="E22" s="6">
        <v>2</v>
      </c>
      <c r="F22" s="5">
        <v>0.59375</v>
      </c>
    </row>
    <row r="23" spans="1:6" x14ac:dyDescent="0.25">
      <c r="B23"/>
      <c r="C23" t="s">
        <v>167</v>
      </c>
      <c r="E23" s="6">
        <v>2</v>
      </c>
      <c r="F23" s="5">
        <v>0.59375</v>
      </c>
    </row>
    <row r="24" spans="1:6" x14ac:dyDescent="0.25">
      <c r="B24"/>
      <c r="C24" t="s">
        <v>16</v>
      </c>
      <c r="D24" s="2">
        <v>45744</v>
      </c>
      <c r="E24" s="6">
        <v>1</v>
      </c>
      <c r="F24" s="5">
        <v>2.4305555555555556E-2</v>
      </c>
    </row>
    <row r="25" spans="1:6" x14ac:dyDescent="0.25">
      <c r="B25"/>
      <c r="C25" t="s">
        <v>168</v>
      </c>
      <c r="E25" s="6">
        <v>1</v>
      </c>
      <c r="F25" s="5">
        <v>2.4305555555555556E-2</v>
      </c>
    </row>
    <row r="26" spans="1:6" x14ac:dyDescent="0.25">
      <c r="B26" t="s">
        <v>162</v>
      </c>
      <c r="E26" s="6">
        <v>14</v>
      </c>
      <c r="F26" s="5">
        <v>1.7118055555555556</v>
      </c>
    </row>
    <row r="27" spans="1:6" x14ac:dyDescent="0.25">
      <c r="A27" s="8" t="s">
        <v>169</v>
      </c>
      <c r="B27"/>
      <c r="E27" s="6">
        <v>14</v>
      </c>
      <c r="F27" s="38">
        <v>1.7118055555555556</v>
      </c>
    </row>
    <row r="28" spans="1:6" x14ac:dyDescent="0.25">
      <c r="A28" s="8">
        <v>15</v>
      </c>
      <c r="B28" t="s">
        <v>17</v>
      </c>
      <c r="C28" t="s">
        <v>18</v>
      </c>
      <c r="D28" s="2">
        <v>45758</v>
      </c>
      <c r="E28" s="6">
        <v>1</v>
      </c>
      <c r="F28" s="5">
        <v>0</v>
      </c>
    </row>
    <row r="29" spans="1:6" x14ac:dyDescent="0.25">
      <c r="B29"/>
      <c r="C29" t="s">
        <v>170</v>
      </c>
      <c r="E29" s="6">
        <v>1</v>
      </c>
      <c r="F29" s="5">
        <v>0</v>
      </c>
    </row>
    <row r="30" spans="1:6" x14ac:dyDescent="0.25">
      <c r="B30" t="s">
        <v>171</v>
      </c>
      <c r="E30" s="6">
        <v>1</v>
      </c>
      <c r="F30" s="5">
        <v>0</v>
      </c>
    </row>
    <row r="31" spans="1:6" x14ac:dyDescent="0.25">
      <c r="A31" s="8" t="s">
        <v>172</v>
      </c>
      <c r="B31"/>
      <c r="E31" s="6">
        <v>1</v>
      </c>
      <c r="F31" s="38">
        <v>0</v>
      </c>
    </row>
    <row r="32" spans="1:6" x14ac:dyDescent="0.25">
      <c r="A32" s="8">
        <v>16</v>
      </c>
      <c r="B32" t="s">
        <v>17</v>
      </c>
      <c r="C32" t="s">
        <v>19</v>
      </c>
      <c r="D32" s="2">
        <v>45761</v>
      </c>
      <c r="E32" s="6">
        <v>1</v>
      </c>
      <c r="F32" s="5">
        <v>0</v>
      </c>
    </row>
    <row r="33" spans="1:6" x14ac:dyDescent="0.25">
      <c r="B33"/>
      <c r="C33" t="s">
        <v>173</v>
      </c>
      <c r="E33" s="6">
        <v>1</v>
      </c>
      <c r="F33" s="5">
        <v>0</v>
      </c>
    </row>
    <row r="34" spans="1:6" x14ac:dyDescent="0.25">
      <c r="B34"/>
      <c r="C34" t="s">
        <v>20</v>
      </c>
      <c r="D34" s="2">
        <v>45762</v>
      </c>
      <c r="E34" s="6">
        <v>1</v>
      </c>
      <c r="F34" s="5">
        <v>0</v>
      </c>
    </row>
    <row r="35" spans="1:6" x14ac:dyDescent="0.25">
      <c r="B35"/>
      <c r="C35" t="s">
        <v>174</v>
      </c>
      <c r="E35" s="6">
        <v>1</v>
      </c>
      <c r="F35" s="5">
        <v>0</v>
      </c>
    </row>
    <row r="36" spans="1:6" x14ac:dyDescent="0.25">
      <c r="B36"/>
      <c r="C36" t="s">
        <v>21</v>
      </c>
      <c r="D36" s="2">
        <v>45763</v>
      </c>
      <c r="E36" s="6">
        <v>1</v>
      </c>
      <c r="F36" s="5">
        <v>0</v>
      </c>
    </row>
    <row r="37" spans="1:6" x14ac:dyDescent="0.25">
      <c r="B37"/>
      <c r="C37" t="s">
        <v>175</v>
      </c>
      <c r="E37" s="6">
        <v>1</v>
      </c>
      <c r="F37" s="5">
        <v>0</v>
      </c>
    </row>
    <row r="38" spans="1:6" x14ac:dyDescent="0.25">
      <c r="B38" t="s">
        <v>171</v>
      </c>
      <c r="E38" s="6">
        <v>3</v>
      </c>
      <c r="F38" s="5">
        <v>0</v>
      </c>
    </row>
    <row r="39" spans="1:6" x14ac:dyDescent="0.25">
      <c r="A39" s="8" t="s">
        <v>176</v>
      </c>
      <c r="B39"/>
      <c r="E39" s="6">
        <v>3</v>
      </c>
      <c r="F39" s="38">
        <v>0</v>
      </c>
    </row>
    <row r="40" spans="1:6" x14ac:dyDescent="0.25">
      <c r="A40" s="8">
        <v>17</v>
      </c>
      <c r="B40" t="s">
        <v>17</v>
      </c>
      <c r="C40" t="s">
        <v>22</v>
      </c>
      <c r="D40" s="2">
        <v>45769</v>
      </c>
      <c r="E40" s="6">
        <v>2</v>
      </c>
      <c r="F40" s="5">
        <v>0.33333333333333331</v>
      </c>
    </row>
    <row r="41" spans="1:6" x14ac:dyDescent="0.25">
      <c r="B41"/>
      <c r="C41" t="s">
        <v>177</v>
      </c>
      <c r="E41" s="6">
        <v>2</v>
      </c>
      <c r="F41" s="5">
        <v>0.33333333333333331</v>
      </c>
    </row>
    <row r="42" spans="1:6" x14ac:dyDescent="0.25">
      <c r="B42"/>
      <c r="C42" t="s">
        <v>23</v>
      </c>
      <c r="D42" s="2">
        <v>45770</v>
      </c>
      <c r="E42" s="6">
        <v>1</v>
      </c>
      <c r="F42" s="5">
        <v>0.66666666666666663</v>
      </c>
    </row>
    <row r="43" spans="1:6" x14ac:dyDescent="0.25">
      <c r="B43"/>
      <c r="C43" t="s">
        <v>178</v>
      </c>
      <c r="E43" s="6">
        <v>1</v>
      </c>
      <c r="F43" s="5">
        <v>0.66666666666666663</v>
      </c>
    </row>
    <row r="44" spans="1:6" x14ac:dyDescent="0.25">
      <c r="B44"/>
      <c r="C44" t="s">
        <v>24</v>
      </c>
      <c r="D44" s="2">
        <v>45771</v>
      </c>
      <c r="E44" s="6">
        <v>1</v>
      </c>
      <c r="F44" s="5">
        <v>0.66666666666666663</v>
      </c>
    </row>
    <row r="45" spans="1:6" x14ac:dyDescent="0.25">
      <c r="B45"/>
      <c r="C45" t="s">
        <v>179</v>
      </c>
      <c r="E45" s="6">
        <v>1</v>
      </c>
      <c r="F45" s="5">
        <v>0.66666666666666663</v>
      </c>
    </row>
    <row r="46" spans="1:6" x14ac:dyDescent="0.25">
      <c r="B46"/>
      <c r="C46" t="s">
        <v>25</v>
      </c>
      <c r="D46" s="2">
        <v>45772</v>
      </c>
      <c r="E46" s="6">
        <v>3</v>
      </c>
      <c r="F46" s="5">
        <v>0.40277777777777779</v>
      </c>
    </row>
    <row r="47" spans="1:6" x14ac:dyDescent="0.25">
      <c r="B47"/>
      <c r="C47" t="s">
        <v>180</v>
      </c>
      <c r="E47" s="6">
        <v>3</v>
      </c>
      <c r="F47" s="5">
        <v>0.40277777777777779</v>
      </c>
    </row>
    <row r="48" spans="1:6" x14ac:dyDescent="0.25">
      <c r="B48" t="s">
        <v>171</v>
      </c>
      <c r="E48" s="6">
        <v>7</v>
      </c>
      <c r="F48" s="5">
        <v>2.0694444444444442</v>
      </c>
    </row>
    <row r="49" spans="1:6" x14ac:dyDescent="0.25">
      <c r="A49" s="8" t="s">
        <v>181</v>
      </c>
      <c r="B49"/>
      <c r="E49" s="6">
        <v>7</v>
      </c>
      <c r="F49" s="38">
        <v>2.0694444444444442</v>
      </c>
    </row>
    <row r="50" spans="1:6" x14ac:dyDescent="0.25">
      <c r="A50" s="8">
        <v>18</v>
      </c>
      <c r="B50" t="s">
        <v>17</v>
      </c>
      <c r="C50" t="s">
        <v>26</v>
      </c>
      <c r="D50" s="2">
        <v>45775</v>
      </c>
      <c r="E50" s="6">
        <v>2</v>
      </c>
      <c r="F50" s="5">
        <v>0.4375</v>
      </c>
    </row>
    <row r="51" spans="1:6" x14ac:dyDescent="0.25">
      <c r="B51"/>
      <c r="C51" t="s">
        <v>182</v>
      </c>
      <c r="E51" s="6">
        <v>2</v>
      </c>
      <c r="F51" s="5">
        <v>0.4375</v>
      </c>
    </row>
    <row r="52" spans="1:6" x14ac:dyDescent="0.25">
      <c r="B52"/>
      <c r="C52" t="s">
        <v>27</v>
      </c>
      <c r="D52" s="2">
        <v>45776</v>
      </c>
      <c r="E52" s="6">
        <v>2</v>
      </c>
      <c r="F52" s="5">
        <v>0.30208333333333337</v>
      </c>
    </row>
    <row r="53" spans="1:6" x14ac:dyDescent="0.25">
      <c r="B53"/>
      <c r="C53" t="s">
        <v>183</v>
      </c>
      <c r="E53" s="6">
        <v>2</v>
      </c>
      <c r="F53" s="5">
        <v>0.30208333333333337</v>
      </c>
    </row>
    <row r="54" spans="1:6" x14ac:dyDescent="0.25">
      <c r="B54"/>
      <c r="C54" t="s">
        <v>28</v>
      </c>
      <c r="D54" s="2">
        <v>45777</v>
      </c>
      <c r="E54" s="6">
        <v>2</v>
      </c>
      <c r="F54" s="5">
        <v>0.48263888888888884</v>
      </c>
    </row>
    <row r="55" spans="1:6" x14ac:dyDescent="0.25">
      <c r="B55"/>
      <c r="C55" t="s">
        <v>184</v>
      </c>
      <c r="E55" s="6">
        <v>2</v>
      </c>
      <c r="F55" s="5">
        <v>0.48263888888888884</v>
      </c>
    </row>
    <row r="56" spans="1:6" x14ac:dyDescent="0.25">
      <c r="B56" t="s">
        <v>171</v>
      </c>
      <c r="E56" s="6">
        <v>6</v>
      </c>
      <c r="F56" s="5">
        <v>1.2222222222222223</v>
      </c>
    </row>
    <row r="57" spans="1:6" x14ac:dyDescent="0.25">
      <c r="B57" t="s">
        <v>29</v>
      </c>
      <c r="C57" t="s">
        <v>30</v>
      </c>
      <c r="D57" s="2">
        <v>45779</v>
      </c>
      <c r="E57" s="6">
        <v>3</v>
      </c>
      <c r="F57" s="5">
        <v>0.24652777777777779</v>
      </c>
    </row>
    <row r="58" spans="1:6" x14ac:dyDescent="0.25">
      <c r="B58"/>
      <c r="C58" t="s">
        <v>185</v>
      </c>
      <c r="E58" s="6">
        <v>3</v>
      </c>
      <c r="F58" s="5">
        <v>0.24652777777777779</v>
      </c>
    </row>
    <row r="59" spans="1:6" x14ac:dyDescent="0.25">
      <c r="B59" t="s">
        <v>186</v>
      </c>
      <c r="E59" s="6">
        <v>3</v>
      </c>
      <c r="F59" s="5">
        <v>0.24652777777777779</v>
      </c>
    </row>
    <row r="60" spans="1:6" x14ac:dyDescent="0.25">
      <c r="A60" s="8" t="s">
        <v>187</v>
      </c>
      <c r="B60"/>
      <c r="E60" s="6">
        <v>9</v>
      </c>
      <c r="F60" s="38">
        <v>1.46875</v>
      </c>
    </row>
    <row r="61" spans="1:6" x14ac:dyDescent="0.25">
      <c r="A61" s="8">
        <v>19</v>
      </c>
      <c r="B61" t="s">
        <v>29</v>
      </c>
      <c r="C61" t="s">
        <v>31</v>
      </c>
      <c r="D61" s="2">
        <v>45782</v>
      </c>
      <c r="E61" s="6">
        <v>4</v>
      </c>
      <c r="F61" s="5">
        <v>0.53125</v>
      </c>
    </row>
    <row r="62" spans="1:6" x14ac:dyDescent="0.25">
      <c r="B62"/>
      <c r="C62" t="s">
        <v>188</v>
      </c>
      <c r="E62" s="6">
        <v>4</v>
      </c>
      <c r="F62" s="5">
        <v>0.53125</v>
      </c>
    </row>
    <row r="63" spans="1:6" x14ac:dyDescent="0.25">
      <c r="B63"/>
      <c r="C63" t="s">
        <v>32</v>
      </c>
      <c r="D63" s="2">
        <v>45783</v>
      </c>
      <c r="E63" s="6">
        <v>3</v>
      </c>
      <c r="F63" s="5">
        <v>0.3125</v>
      </c>
    </row>
    <row r="64" spans="1:6" x14ac:dyDescent="0.25">
      <c r="B64"/>
      <c r="C64" t="s">
        <v>189</v>
      </c>
      <c r="E64" s="6">
        <v>3</v>
      </c>
      <c r="F64" s="5">
        <v>0.3125</v>
      </c>
    </row>
    <row r="65" spans="1:6" x14ac:dyDescent="0.25">
      <c r="B65"/>
      <c r="C65" t="s">
        <v>33</v>
      </c>
      <c r="D65" s="2">
        <v>45784</v>
      </c>
      <c r="E65" s="6">
        <v>4</v>
      </c>
      <c r="F65" s="5">
        <v>0.56944444444444442</v>
      </c>
    </row>
    <row r="66" spans="1:6" x14ac:dyDescent="0.25">
      <c r="B66"/>
      <c r="C66" t="s">
        <v>190</v>
      </c>
      <c r="E66" s="6">
        <v>4</v>
      </c>
      <c r="F66" s="5">
        <v>0.56944444444444442</v>
      </c>
    </row>
    <row r="67" spans="1:6" x14ac:dyDescent="0.25">
      <c r="B67"/>
      <c r="C67" t="s">
        <v>34</v>
      </c>
      <c r="D67" s="2">
        <v>45785</v>
      </c>
      <c r="E67" s="6">
        <v>2</v>
      </c>
      <c r="F67" s="5">
        <v>0.40972222222222221</v>
      </c>
    </row>
    <row r="68" spans="1:6" x14ac:dyDescent="0.25">
      <c r="B68"/>
      <c r="C68" t="s">
        <v>191</v>
      </c>
      <c r="E68" s="6">
        <v>2</v>
      </c>
      <c r="F68" s="5">
        <v>0.40972222222222221</v>
      </c>
    </row>
    <row r="69" spans="1:6" x14ac:dyDescent="0.25">
      <c r="B69"/>
      <c r="C69" t="s">
        <v>35</v>
      </c>
      <c r="D69" s="2">
        <v>45786</v>
      </c>
      <c r="E69" s="6">
        <v>1</v>
      </c>
      <c r="F69" s="5">
        <v>0.27083333333333331</v>
      </c>
    </row>
    <row r="70" spans="1:6" x14ac:dyDescent="0.25">
      <c r="B70"/>
      <c r="C70" t="s">
        <v>192</v>
      </c>
      <c r="E70" s="6">
        <v>1</v>
      </c>
      <c r="F70" s="5">
        <v>0.27083333333333331</v>
      </c>
    </row>
    <row r="71" spans="1:6" x14ac:dyDescent="0.25">
      <c r="B71" t="s">
        <v>186</v>
      </c>
      <c r="E71" s="6">
        <v>14</v>
      </c>
      <c r="F71" s="5">
        <v>2.09375</v>
      </c>
    </row>
    <row r="72" spans="1:6" x14ac:dyDescent="0.25">
      <c r="A72" s="8" t="s">
        <v>193</v>
      </c>
      <c r="B72"/>
      <c r="E72" s="6">
        <v>14</v>
      </c>
      <c r="F72" s="38">
        <v>2.09375</v>
      </c>
    </row>
    <row r="73" spans="1:6" x14ac:dyDescent="0.25">
      <c r="A73" s="8">
        <v>20</v>
      </c>
      <c r="B73" t="s">
        <v>29</v>
      </c>
      <c r="C73" t="s">
        <v>36</v>
      </c>
      <c r="D73" s="2">
        <v>45789</v>
      </c>
      <c r="E73" s="6">
        <v>2</v>
      </c>
      <c r="F73" s="5">
        <v>0.34375</v>
      </c>
    </row>
    <row r="74" spans="1:6" x14ac:dyDescent="0.25">
      <c r="B74"/>
      <c r="C74" t="s">
        <v>194</v>
      </c>
      <c r="E74" s="6">
        <v>2</v>
      </c>
      <c r="F74" s="5">
        <v>0.34375</v>
      </c>
    </row>
    <row r="75" spans="1:6" x14ac:dyDescent="0.25">
      <c r="B75"/>
      <c r="C75" t="s">
        <v>37</v>
      </c>
      <c r="D75" s="2">
        <v>45790</v>
      </c>
      <c r="E75" s="6">
        <v>4</v>
      </c>
      <c r="F75" s="5">
        <v>0.57986111111111116</v>
      </c>
    </row>
    <row r="76" spans="1:6" x14ac:dyDescent="0.25">
      <c r="B76"/>
      <c r="C76" t="s">
        <v>195</v>
      </c>
      <c r="E76" s="6">
        <v>4</v>
      </c>
      <c r="F76" s="5">
        <v>0.57986111111111116</v>
      </c>
    </row>
    <row r="77" spans="1:6" x14ac:dyDescent="0.25">
      <c r="B77"/>
      <c r="C77" t="s">
        <v>38</v>
      </c>
      <c r="D77" s="2">
        <v>45791</v>
      </c>
      <c r="E77" s="6">
        <v>4</v>
      </c>
      <c r="F77" s="5">
        <v>0.53472222222222221</v>
      </c>
    </row>
    <row r="78" spans="1:6" x14ac:dyDescent="0.25">
      <c r="B78"/>
      <c r="C78" t="s">
        <v>196</v>
      </c>
      <c r="E78" s="6">
        <v>4</v>
      </c>
      <c r="F78" s="5">
        <v>0.53472222222222221</v>
      </c>
    </row>
    <row r="79" spans="1:6" x14ac:dyDescent="0.25">
      <c r="B79"/>
      <c r="C79" t="s">
        <v>39</v>
      </c>
      <c r="D79" s="2">
        <v>45792</v>
      </c>
      <c r="E79" s="6">
        <v>3</v>
      </c>
      <c r="F79" s="5">
        <v>0.15972222222222221</v>
      </c>
    </row>
    <row r="80" spans="1:6" x14ac:dyDescent="0.25">
      <c r="B80"/>
      <c r="C80" t="s">
        <v>197</v>
      </c>
      <c r="E80" s="6">
        <v>3</v>
      </c>
      <c r="F80" s="5">
        <v>0.15972222222222221</v>
      </c>
    </row>
    <row r="81" spans="1:6" x14ac:dyDescent="0.25">
      <c r="B81"/>
      <c r="C81" t="s">
        <v>40</v>
      </c>
      <c r="D81" s="2">
        <v>45793</v>
      </c>
      <c r="E81" s="6">
        <v>3</v>
      </c>
      <c r="F81" s="5">
        <v>0.30208333333333331</v>
      </c>
    </row>
    <row r="82" spans="1:6" x14ac:dyDescent="0.25">
      <c r="B82"/>
      <c r="C82" t="s">
        <v>198</v>
      </c>
      <c r="E82" s="6">
        <v>3</v>
      </c>
      <c r="F82" s="5">
        <v>0.30208333333333331</v>
      </c>
    </row>
    <row r="83" spans="1:6" x14ac:dyDescent="0.25">
      <c r="B83" t="s">
        <v>186</v>
      </c>
      <c r="E83" s="6">
        <v>16</v>
      </c>
      <c r="F83" s="5">
        <v>1.9201388888888891</v>
      </c>
    </row>
    <row r="84" spans="1:6" x14ac:dyDescent="0.25">
      <c r="A84" s="8" t="s">
        <v>199</v>
      </c>
      <c r="B84"/>
      <c r="E84" s="6">
        <v>16</v>
      </c>
      <c r="F84" s="38">
        <v>1.9201388888888891</v>
      </c>
    </row>
    <row r="85" spans="1:6" x14ac:dyDescent="0.25">
      <c r="A85" s="8">
        <v>21</v>
      </c>
      <c r="B85" t="s">
        <v>29</v>
      </c>
      <c r="C85" t="s">
        <v>41</v>
      </c>
      <c r="D85" s="2">
        <v>45796</v>
      </c>
      <c r="E85" s="6">
        <v>4</v>
      </c>
      <c r="F85" s="5">
        <v>0.51736111111111105</v>
      </c>
    </row>
    <row r="86" spans="1:6" x14ac:dyDescent="0.25">
      <c r="B86"/>
      <c r="C86" t="s">
        <v>200</v>
      </c>
      <c r="E86" s="6">
        <v>4</v>
      </c>
      <c r="F86" s="5">
        <v>0.51736111111111105</v>
      </c>
    </row>
    <row r="87" spans="1:6" x14ac:dyDescent="0.25">
      <c r="B87"/>
      <c r="C87" t="s">
        <v>42</v>
      </c>
      <c r="D87" s="2">
        <v>45797</v>
      </c>
      <c r="E87" s="6">
        <v>4</v>
      </c>
      <c r="F87" s="5">
        <v>0.50347222222222221</v>
      </c>
    </row>
    <row r="88" spans="1:6" x14ac:dyDescent="0.25">
      <c r="B88"/>
      <c r="C88" t="s">
        <v>201</v>
      </c>
      <c r="E88" s="6">
        <v>4</v>
      </c>
      <c r="F88" s="5">
        <v>0.50347222222222221</v>
      </c>
    </row>
    <row r="89" spans="1:6" x14ac:dyDescent="0.25">
      <c r="B89"/>
      <c r="C89" t="s">
        <v>43</v>
      </c>
      <c r="D89" s="2">
        <v>45798</v>
      </c>
      <c r="E89" s="6">
        <v>2</v>
      </c>
      <c r="F89" s="5">
        <v>0.30555555555555558</v>
      </c>
    </row>
    <row r="90" spans="1:6" x14ac:dyDescent="0.25">
      <c r="B90"/>
      <c r="C90" t="s">
        <v>202</v>
      </c>
      <c r="E90" s="6">
        <v>2</v>
      </c>
      <c r="F90" s="5">
        <v>0.30555555555555558</v>
      </c>
    </row>
    <row r="91" spans="1:6" x14ac:dyDescent="0.25">
      <c r="B91"/>
      <c r="C91" t="s">
        <v>44</v>
      </c>
      <c r="D91" s="2">
        <v>45799</v>
      </c>
      <c r="E91" s="6">
        <v>1</v>
      </c>
      <c r="F91" s="5">
        <v>0.33680555555555558</v>
      </c>
    </row>
    <row r="92" spans="1:6" x14ac:dyDescent="0.25">
      <c r="B92"/>
      <c r="C92" t="s">
        <v>203</v>
      </c>
      <c r="E92" s="6">
        <v>1</v>
      </c>
      <c r="F92" s="5">
        <v>0.33680555555555558</v>
      </c>
    </row>
    <row r="93" spans="1:6" x14ac:dyDescent="0.25">
      <c r="B93"/>
      <c r="C93" t="s">
        <v>45</v>
      </c>
      <c r="D93" s="2">
        <v>45800</v>
      </c>
      <c r="E93" s="6">
        <v>3</v>
      </c>
      <c r="F93" s="5">
        <v>0.53819444444444442</v>
      </c>
    </row>
    <row r="94" spans="1:6" x14ac:dyDescent="0.25">
      <c r="B94"/>
      <c r="C94" t="s">
        <v>204</v>
      </c>
      <c r="E94" s="6">
        <v>3</v>
      </c>
      <c r="F94" s="5">
        <v>0.53819444444444442</v>
      </c>
    </row>
    <row r="95" spans="1:6" x14ac:dyDescent="0.25">
      <c r="B95" t="s">
        <v>186</v>
      </c>
      <c r="E95" s="6">
        <v>14</v>
      </c>
      <c r="F95" s="5">
        <v>2.2013888888888888</v>
      </c>
    </row>
    <row r="96" spans="1:6" x14ac:dyDescent="0.25">
      <c r="A96" s="8" t="s">
        <v>205</v>
      </c>
      <c r="B96"/>
      <c r="E96" s="6">
        <v>14</v>
      </c>
      <c r="F96" s="38">
        <v>2.2013888888888888</v>
      </c>
    </row>
    <row r="97" spans="1:6" x14ac:dyDescent="0.25">
      <c r="A97" s="8">
        <v>22</v>
      </c>
      <c r="B97" t="s">
        <v>29</v>
      </c>
      <c r="C97" t="s">
        <v>46</v>
      </c>
      <c r="D97" s="2">
        <v>45803</v>
      </c>
      <c r="E97" s="6">
        <v>2</v>
      </c>
      <c r="F97" s="5">
        <v>0.5625</v>
      </c>
    </row>
    <row r="98" spans="1:6" x14ac:dyDescent="0.25">
      <c r="B98"/>
      <c r="C98" t="s">
        <v>206</v>
      </c>
      <c r="E98" s="6">
        <v>2</v>
      </c>
      <c r="F98" s="5">
        <v>0.5625</v>
      </c>
    </row>
    <row r="99" spans="1:6" x14ac:dyDescent="0.25">
      <c r="B99"/>
      <c r="C99" t="s">
        <v>47</v>
      </c>
      <c r="D99" s="2">
        <v>45804</v>
      </c>
      <c r="E99" s="6">
        <v>2</v>
      </c>
      <c r="F99" s="5">
        <v>0.41319444444444442</v>
      </c>
    </row>
    <row r="100" spans="1:6" x14ac:dyDescent="0.25">
      <c r="B100"/>
      <c r="C100" t="s">
        <v>207</v>
      </c>
      <c r="E100" s="6">
        <v>2</v>
      </c>
      <c r="F100" s="5">
        <v>0.41319444444444442</v>
      </c>
    </row>
    <row r="101" spans="1:6" x14ac:dyDescent="0.25">
      <c r="B101"/>
      <c r="C101" t="s">
        <v>48</v>
      </c>
      <c r="D101" s="2">
        <v>45805</v>
      </c>
      <c r="E101" s="6">
        <v>2</v>
      </c>
      <c r="F101" s="5">
        <v>0.28472222222222221</v>
      </c>
    </row>
    <row r="102" spans="1:6" x14ac:dyDescent="0.25">
      <c r="B102"/>
      <c r="C102" t="s">
        <v>208</v>
      </c>
      <c r="E102" s="6">
        <v>2</v>
      </c>
      <c r="F102" s="5">
        <v>0.28472222222222221</v>
      </c>
    </row>
    <row r="103" spans="1:6" x14ac:dyDescent="0.25">
      <c r="B103"/>
      <c r="C103" t="s">
        <v>49</v>
      </c>
      <c r="D103" s="2">
        <v>45806</v>
      </c>
      <c r="E103" s="6">
        <v>3</v>
      </c>
      <c r="F103" s="5">
        <v>0.45833333333333331</v>
      </c>
    </row>
    <row r="104" spans="1:6" x14ac:dyDescent="0.25">
      <c r="B104"/>
      <c r="C104" t="s">
        <v>209</v>
      </c>
      <c r="E104" s="6">
        <v>3</v>
      </c>
      <c r="F104" s="5">
        <v>0.45833333333333331</v>
      </c>
    </row>
    <row r="105" spans="1:6" x14ac:dyDescent="0.25">
      <c r="B105"/>
      <c r="C105" t="s">
        <v>50</v>
      </c>
      <c r="D105" s="2">
        <v>45807</v>
      </c>
      <c r="E105" s="6">
        <v>1</v>
      </c>
      <c r="F105" s="5">
        <v>0.28819444444444442</v>
      </c>
    </row>
    <row r="106" spans="1:6" x14ac:dyDescent="0.25">
      <c r="B106"/>
      <c r="C106" t="s">
        <v>210</v>
      </c>
      <c r="E106" s="6">
        <v>1</v>
      </c>
      <c r="F106" s="5">
        <v>0.28819444444444442</v>
      </c>
    </row>
    <row r="107" spans="1:6" x14ac:dyDescent="0.25">
      <c r="B107" t="s">
        <v>186</v>
      </c>
      <c r="E107" s="6">
        <v>10</v>
      </c>
      <c r="F107" s="5">
        <v>2.0069444444444442</v>
      </c>
    </row>
    <row r="108" spans="1:6" x14ac:dyDescent="0.25">
      <c r="A108" s="8" t="s">
        <v>211</v>
      </c>
      <c r="B108"/>
      <c r="E108" s="6">
        <v>10</v>
      </c>
      <c r="F108" s="38">
        <v>2.0069444444444442</v>
      </c>
    </row>
    <row r="109" spans="1:6" x14ac:dyDescent="0.25">
      <c r="A109" s="8">
        <v>23</v>
      </c>
      <c r="B109" t="s">
        <v>51</v>
      </c>
      <c r="C109" t="s">
        <v>52</v>
      </c>
      <c r="D109" s="2">
        <v>45812</v>
      </c>
      <c r="E109" s="6">
        <v>1</v>
      </c>
      <c r="F109" s="5">
        <v>0.16319444444444445</v>
      </c>
    </row>
    <row r="110" spans="1:6" x14ac:dyDescent="0.25">
      <c r="B110"/>
      <c r="C110" t="s">
        <v>212</v>
      </c>
      <c r="E110" s="6">
        <v>1</v>
      </c>
      <c r="F110" s="5">
        <v>0.16319444444444445</v>
      </c>
    </row>
    <row r="111" spans="1:6" x14ac:dyDescent="0.25">
      <c r="B111"/>
      <c r="C111" t="s">
        <v>53</v>
      </c>
      <c r="D111" s="2">
        <v>45813</v>
      </c>
      <c r="E111" s="6">
        <v>5</v>
      </c>
      <c r="F111" s="5">
        <v>0.48611111111111105</v>
      </c>
    </row>
    <row r="112" spans="1:6" x14ac:dyDescent="0.25">
      <c r="B112"/>
      <c r="C112" t="s">
        <v>213</v>
      </c>
      <c r="E112" s="6">
        <v>5</v>
      </c>
      <c r="F112" s="5">
        <v>0.48611111111111105</v>
      </c>
    </row>
    <row r="113" spans="1:6" x14ac:dyDescent="0.25">
      <c r="B113"/>
      <c r="C113" t="s">
        <v>54</v>
      </c>
      <c r="D113" s="2">
        <v>45814</v>
      </c>
      <c r="E113" s="6">
        <v>6</v>
      </c>
      <c r="F113" s="5">
        <v>0.34722222222222221</v>
      </c>
    </row>
    <row r="114" spans="1:6" x14ac:dyDescent="0.25">
      <c r="B114"/>
      <c r="C114" t="s">
        <v>214</v>
      </c>
      <c r="E114" s="6">
        <v>6</v>
      </c>
      <c r="F114" s="5">
        <v>0.34722222222222221</v>
      </c>
    </row>
    <row r="115" spans="1:6" x14ac:dyDescent="0.25">
      <c r="B115" t="s">
        <v>215</v>
      </c>
      <c r="E115" s="6">
        <v>12</v>
      </c>
      <c r="F115" s="5">
        <v>0.99652777777777779</v>
      </c>
    </row>
    <row r="116" spans="1:6" x14ac:dyDescent="0.25">
      <c r="A116" s="8" t="s">
        <v>216</v>
      </c>
      <c r="B116"/>
      <c r="E116" s="6">
        <v>12</v>
      </c>
      <c r="F116" s="38">
        <v>0.99652777777777779</v>
      </c>
    </row>
    <row r="117" spans="1:6" x14ac:dyDescent="0.25">
      <c r="A117" s="8">
        <v>6</v>
      </c>
      <c r="B117" t="s">
        <v>55</v>
      </c>
      <c r="C117" t="s">
        <v>56</v>
      </c>
      <c r="D117" s="2">
        <v>45692</v>
      </c>
      <c r="E117" s="6">
        <v>1</v>
      </c>
      <c r="F117" s="5">
        <v>9.0277777777777776E-2</v>
      </c>
    </row>
    <row r="118" spans="1:6" x14ac:dyDescent="0.25">
      <c r="B118"/>
      <c r="C118" t="s">
        <v>217</v>
      </c>
      <c r="E118" s="6">
        <v>1</v>
      </c>
      <c r="F118" s="5">
        <v>9.0277777777777776E-2</v>
      </c>
    </row>
    <row r="119" spans="1:6" x14ac:dyDescent="0.25">
      <c r="B119"/>
      <c r="C119" t="s">
        <v>57</v>
      </c>
      <c r="D119" s="2">
        <v>45693</v>
      </c>
      <c r="E119" s="6">
        <v>2</v>
      </c>
      <c r="F119" s="5">
        <v>0.47569444444444442</v>
      </c>
    </row>
    <row r="120" spans="1:6" x14ac:dyDescent="0.25">
      <c r="B120"/>
      <c r="C120" t="s">
        <v>218</v>
      </c>
      <c r="E120" s="6">
        <v>2</v>
      </c>
      <c r="F120" s="5">
        <v>0.47569444444444442</v>
      </c>
    </row>
    <row r="121" spans="1:6" x14ac:dyDescent="0.25">
      <c r="B121"/>
      <c r="C121" t="s">
        <v>58</v>
      </c>
      <c r="D121" s="2">
        <v>45694</v>
      </c>
      <c r="E121" s="6">
        <v>2</v>
      </c>
      <c r="F121" s="5">
        <v>0.34375</v>
      </c>
    </row>
    <row r="122" spans="1:6" x14ac:dyDescent="0.25">
      <c r="B122"/>
      <c r="C122" t="s">
        <v>219</v>
      </c>
      <c r="E122" s="6">
        <v>2</v>
      </c>
      <c r="F122" s="5">
        <v>0.34375</v>
      </c>
    </row>
    <row r="123" spans="1:6" x14ac:dyDescent="0.25">
      <c r="B123"/>
      <c r="C123" t="s">
        <v>59</v>
      </c>
      <c r="D123" s="2">
        <v>45695</v>
      </c>
      <c r="E123" s="6">
        <v>2</v>
      </c>
      <c r="F123" s="5">
        <v>0.34722222222222221</v>
      </c>
    </row>
    <row r="124" spans="1:6" x14ac:dyDescent="0.25">
      <c r="B124"/>
      <c r="C124" t="s">
        <v>220</v>
      </c>
      <c r="E124" s="6">
        <v>2</v>
      </c>
      <c r="F124" s="5">
        <v>0.34722222222222221</v>
      </c>
    </row>
    <row r="125" spans="1:6" x14ac:dyDescent="0.25">
      <c r="B125" t="s">
        <v>221</v>
      </c>
      <c r="E125" s="6">
        <v>7</v>
      </c>
      <c r="F125" s="5">
        <v>1.2569444444444446</v>
      </c>
    </row>
    <row r="126" spans="1:6" x14ac:dyDescent="0.25">
      <c r="A126" s="8" t="s">
        <v>222</v>
      </c>
      <c r="B126"/>
      <c r="E126" s="6">
        <v>7</v>
      </c>
      <c r="F126" s="38">
        <v>1.2569444444444446</v>
      </c>
    </row>
    <row r="127" spans="1:6" x14ac:dyDescent="0.25">
      <c r="A127" s="8">
        <v>7</v>
      </c>
      <c r="B127" t="s">
        <v>55</v>
      </c>
      <c r="C127" t="s">
        <v>60</v>
      </c>
      <c r="D127" s="2">
        <v>45698</v>
      </c>
      <c r="E127" s="6">
        <v>1</v>
      </c>
      <c r="F127" s="5">
        <v>5.5555555555555552E-2</v>
      </c>
    </row>
    <row r="128" spans="1:6" x14ac:dyDescent="0.25">
      <c r="B128"/>
      <c r="C128" t="s">
        <v>223</v>
      </c>
      <c r="E128" s="6">
        <v>1</v>
      </c>
      <c r="F128" s="5">
        <v>5.5555555555555552E-2</v>
      </c>
    </row>
    <row r="129" spans="1:6" x14ac:dyDescent="0.25">
      <c r="B129"/>
      <c r="C129" t="s">
        <v>61</v>
      </c>
      <c r="D129" s="2">
        <v>45699</v>
      </c>
      <c r="E129" s="6">
        <v>1</v>
      </c>
      <c r="F129" s="5">
        <v>0.28125</v>
      </c>
    </row>
    <row r="130" spans="1:6" x14ac:dyDescent="0.25">
      <c r="B130"/>
      <c r="C130" t="s">
        <v>224</v>
      </c>
      <c r="E130" s="6">
        <v>1</v>
      </c>
      <c r="F130" s="5">
        <v>0.28125</v>
      </c>
    </row>
    <row r="131" spans="1:6" x14ac:dyDescent="0.25">
      <c r="B131"/>
      <c r="C131" t="s">
        <v>62</v>
      </c>
      <c r="D131" s="2">
        <v>45700</v>
      </c>
      <c r="E131" s="6">
        <v>3</v>
      </c>
      <c r="F131" s="5">
        <v>0.61805555555555558</v>
      </c>
    </row>
    <row r="132" spans="1:6" x14ac:dyDescent="0.25">
      <c r="B132"/>
      <c r="C132" t="s">
        <v>225</v>
      </c>
      <c r="E132" s="6">
        <v>3</v>
      </c>
      <c r="F132" s="5">
        <v>0.61805555555555558</v>
      </c>
    </row>
    <row r="133" spans="1:6" x14ac:dyDescent="0.25">
      <c r="B133"/>
      <c r="C133" t="s">
        <v>63</v>
      </c>
      <c r="D133" s="2">
        <v>45701</v>
      </c>
      <c r="E133" s="6">
        <v>2</v>
      </c>
      <c r="F133" s="5">
        <v>0.60416666666666674</v>
      </c>
    </row>
    <row r="134" spans="1:6" x14ac:dyDescent="0.25">
      <c r="B134"/>
      <c r="C134" t="s">
        <v>226</v>
      </c>
      <c r="E134" s="6">
        <v>2</v>
      </c>
      <c r="F134" s="5">
        <v>0.60416666666666674</v>
      </c>
    </row>
    <row r="135" spans="1:6" x14ac:dyDescent="0.25">
      <c r="B135"/>
      <c r="C135" t="s">
        <v>64</v>
      </c>
      <c r="D135" s="2">
        <v>45702</v>
      </c>
      <c r="E135" s="6">
        <v>2</v>
      </c>
      <c r="F135" s="5">
        <v>0.27777777777777779</v>
      </c>
    </row>
    <row r="136" spans="1:6" x14ac:dyDescent="0.25">
      <c r="B136"/>
      <c r="C136" t="s">
        <v>227</v>
      </c>
      <c r="E136" s="6">
        <v>2</v>
      </c>
      <c r="F136" s="5">
        <v>0.27777777777777779</v>
      </c>
    </row>
    <row r="137" spans="1:6" x14ac:dyDescent="0.25">
      <c r="B137" t="s">
        <v>221</v>
      </c>
      <c r="E137" s="6">
        <v>9</v>
      </c>
      <c r="F137" s="5">
        <v>1.8368055555555558</v>
      </c>
    </row>
    <row r="138" spans="1:6" x14ac:dyDescent="0.25">
      <c r="A138" s="8" t="s">
        <v>228</v>
      </c>
      <c r="B138"/>
      <c r="E138" s="6">
        <v>9</v>
      </c>
      <c r="F138" s="38">
        <v>1.8368055555555558</v>
      </c>
    </row>
    <row r="139" spans="1:6" x14ac:dyDescent="0.25">
      <c r="A139" s="8">
        <v>8</v>
      </c>
      <c r="B139" t="s">
        <v>55</v>
      </c>
      <c r="C139" t="s">
        <v>65</v>
      </c>
      <c r="D139" s="2">
        <v>45705</v>
      </c>
      <c r="E139" s="6">
        <v>1</v>
      </c>
      <c r="F139" s="5">
        <v>0.31944444444444442</v>
      </c>
    </row>
    <row r="140" spans="1:6" x14ac:dyDescent="0.25">
      <c r="B140"/>
      <c r="C140" t="s">
        <v>229</v>
      </c>
      <c r="E140" s="6">
        <v>1</v>
      </c>
      <c r="F140" s="5">
        <v>0.31944444444444442</v>
      </c>
    </row>
    <row r="141" spans="1:6" x14ac:dyDescent="0.25">
      <c r="B141"/>
      <c r="C141" t="s">
        <v>66</v>
      </c>
      <c r="D141" s="2">
        <v>45706</v>
      </c>
      <c r="E141" s="6">
        <v>1</v>
      </c>
      <c r="F141" s="5">
        <v>9.7222222222222224E-2</v>
      </c>
    </row>
    <row r="142" spans="1:6" x14ac:dyDescent="0.25">
      <c r="B142"/>
      <c r="C142" t="s">
        <v>230</v>
      </c>
      <c r="E142" s="6">
        <v>1</v>
      </c>
      <c r="F142" s="5">
        <v>9.7222222222222224E-2</v>
      </c>
    </row>
    <row r="143" spans="1:6" x14ac:dyDescent="0.25">
      <c r="B143"/>
      <c r="C143" t="s">
        <v>67</v>
      </c>
      <c r="D143" s="2">
        <v>45707</v>
      </c>
      <c r="E143" s="6">
        <v>3</v>
      </c>
      <c r="F143" s="5">
        <v>0.58680555555555558</v>
      </c>
    </row>
    <row r="144" spans="1:6" x14ac:dyDescent="0.25">
      <c r="B144"/>
      <c r="C144" t="s">
        <v>231</v>
      </c>
      <c r="E144" s="6">
        <v>3</v>
      </c>
      <c r="F144" s="5">
        <v>0.58680555555555558</v>
      </c>
    </row>
    <row r="145" spans="1:6" x14ac:dyDescent="0.25">
      <c r="B145"/>
      <c r="C145" t="s">
        <v>68</v>
      </c>
      <c r="D145" s="2">
        <v>45708</v>
      </c>
      <c r="E145" s="6">
        <v>1</v>
      </c>
      <c r="F145" s="5">
        <v>9.375E-2</v>
      </c>
    </row>
    <row r="146" spans="1:6" x14ac:dyDescent="0.25">
      <c r="B146"/>
      <c r="C146" t="s">
        <v>232</v>
      </c>
      <c r="E146" s="6">
        <v>1</v>
      </c>
      <c r="F146" s="5">
        <v>9.375E-2</v>
      </c>
    </row>
    <row r="147" spans="1:6" x14ac:dyDescent="0.25">
      <c r="B147" t="s">
        <v>221</v>
      </c>
      <c r="E147" s="6">
        <v>6</v>
      </c>
      <c r="F147" s="5">
        <v>1.0972222222222223</v>
      </c>
    </row>
    <row r="148" spans="1:6" x14ac:dyDescent="0.25">
      <c r="A148" s="8" t="s">
        <v>233</v>
      </c>
      <c r="B148"/>
      <c r="E148" s="6">
        <v>6</v>
      </c>
      <c r="F148" s="38">
        <v>1.0972222222222223</v>
      </c>
    </row>
    <row r="149" spans="1:6" x14ac:dyDescent="0.25">
      <c r="A149" s="8">
        <v>9</v>
      </c>
      <c r="B149" t="s">
        <v>55</v>
      </c>
      <c r="C149" t="s">
        <v>69</v>
      </c>
      <c r="D149" s="2">
        <v>45716</v>
      </c>
      <c r="E149" s="6">
        <v>4</v>
      </c>
      <c r="F149" s="5">
        <v>0.3923611111111111</v>
      </c>
    </row>
    <row r="150" spans="1:6" x14ac:dyDescent="0.25">
      <c r="B150"/>
      <c r="C150" t="s">
        <v>234</v>
      </c>
      <c r="E150" s="6">
        <v>4</v>
      </c>
      <c r="F150" s="5">
        <v>0.3923611111111111</v>
      </c>
    </row>
    <row r="151" spans="1:6" x14ac:dyDescent="0.25">
      <c r="B151" t="s">
        <v>221</v>
      </c>
      <c r="E151" s="6">
        <v>4</v>
      </c>
      <c r="F151" s="5">
        <v>0.3923611111111111</v>
      </c>
    </row>
    <row r="152" spans="1:6" x14ac:dyDescent="0.25">
      <c r="A152" s="8" t="s">
        <v>235</v>
      </c>
      <c r="B152"/>
      <c r="E152" s="6">
        <v>4</v>
      </c>
      <c r="F152" s="38">
        <v>0.3923611111111111</v>
      </c>
    </row>
    <row r="153" spans="1:6" x14ac:dyDescent="0.25">
      <c r="A153" s="8">
        <v>10</v>
      </c>
      <c r="B153" t="s">
        <v>6</v>
      </c>
      <c r="C153" t="s">
        <v>70</v>
      </c>
      <c r="D153" s="2">
        <v>45719</v>
      </c>
      <c r="E153" s="6">
        <v>7</v>
      </c>
      <c r="F153" s="5">
        <v>0.37152777777777779</v>
      </c>
    </row>
    <row r="154" spans="1:6" x14ac:dyDescent="0.25">
      <c r="B154"/>
      <c r="C154" t="s">
        <v>236</v>
      </c>
      <c r="E154" s="6">
        <v>7</v>
      </c>
      <c r="F154" s="5">
        <v>0.37152777777777779</v>
      </c>
    </row>
    <row r="155" spans="1:6" x14ac:dyDescent="0.25">
      <c r="B155"/>
      <c r="C155" t="s">
        <v>71</v>
      </c>
      <c r="D155" s="2">
        <v>45720</v>
      </c>
      <c r="E155" s="6">
        <v>3</v>
      </c>
      <c r="F155" s="5">
        <v>0.1875</v>
      </c>
    </row>
    <row r="156" spans="1:6" x14ac:dyDescent="0.25">
      <c r="B156"/>
      <c r="C156" t="s">
        <v>237</v>
      </c>
      <c r="E156" s="6">
        <v>3</v>
      </c>
      <c r="F156" s="5">
        <v>0.1875</v>
      </c>
    </row>
    <row r="157" spans="1:6" x14ac:dyDescent="0.25">
      <c r="B157"/>
      <c r="C157" t="s">
        <v>72</v>
      </c>
      <c r="D157" s="2">
        <v>45721</v>
      </c>
      <c r="E157" s="6">
        <v>2</v>
      </c>
      <c r="F157" s="5">
        <v>0.14930555555555555</v>
      </c>
    </row>
    <row r="158" spans="1:6" x14ac:dyDescent="0.25">
      <c r="B158"/>
      <c r="C158" t="s">
        <v>238</v>
      </c>
      <c r="E158" s="6">
        <v>2</v>
      </c>
      <c r="F158" s="5">
        <v>0.14930555555555555</v>
      </c>
    </row>
    <row r="159" spans="1:6" x14ac:dyDescent="0.25">
      <c r="B159"/>
      <c r="C159" t="s">
        <v>73</v>
      </c>
      <c r="D159" s="2">
        <v>45722</v>
      </c>
      <c r="E159" s="6">
        <v>2</v>
      </c>
      <c r="F159" s="5">
        <v>0.15277777777777779</v>
      </c>
    </row>
    <row r="160" spans="1:6" x14ac:dyDescent="0.25">
      <c r="B160"/>
      <c r="C160" t="s">
        <v>239</v>
      </c>
      <c r="E160" s="6">
        <v>2</v>
      </c>
      <c r="F160" s="5">
        <v>0.15277777777777779</v>
      </c>
    </row>
    <row r="161" spans="1:6" x14ac:dyDescent="0.25">
      <c r="B161"/>
      <c r="C161" t="s">
        <v>74</v>
      </c>
      <c r="D161" s="2">
        <v>45723</v>
      </c>
      <c r="E161" s="6">
        <v>2</v>
      </c>
      <c r="F161" s="5">
        <v>0.60416666666666674</v>
      </c>
    </row>
    <row r="162" spans="1:6" x14ac:dyDescent="0.25">
      <c r="B162"/>
      <c r="C162" t="s">
        <v>240</v>
      </c>
      <c r="E162" s="6">
        <v>2</v>
      </c>
      <c r="F162" s="5">
        <v>0.60416666666666674</v>
      </c>
    </row>
    <row r="163" spans="1:6" x14ac:dyDescent="0.25">
      <c r="B163" t="s">
        <v>162</v>
      </c>
      <c r="E163" s="6">
        <v>16</v>
      </c>
      <c r="F163" s="5">
        <v>1.4652777777777779</v>
      </c>
    </row>
    <row r="164" spans="1:6" x14ac:dyDescent="0.25">
      <c r="A164" s="8" t="s">
        <v>241</v>
      </c>
      <c r="B164"/>
      <c r="E164" s="6">
        <v>16</v>
      </c>
      <c r="F164" s="38">
        <v>1.4652777777777779</v>
      </c>
    </row>
    <row r="165" spans="1:6" x14ac:dyDescent="0.25">
      <c r="A165" s="8">
        <v>11</v>
      </c>
      <c r="B165" t="s">
        <v>6</v>
      </c>
      <c r="C165" t="s">
        <v>75</v>
      </c>
      <c r="D165" s="2">
        <v>45726</v>
      </c>
      <c r="E165" s="6">
        <v>4</v>
      </c>
      <c r="F165" s="5">
        <v>0.55208333333333326</v>
      </c>
    </row>
    <row r="166" spans="1:6" x14ac:dyDescent="0.25">
      <c r="B166"/>
      <c r="C166" t="s">
        <v>242</v>
      </c>
      <c r="E166" s="6">
        <v>4</v>
      </c>
      <c r="F166" s="5">
        <v>0.55208333333333326</v>
      </c>
    </row>
    <row r="167" spans="1:6" x14ac:dyDescent="0.25">
      <c r="B167"/>
      <c r="C167" t="s">
        <v>76</v>
      </c>
      <c r="D167" s="2">
        <v>45727</v>
      </c>
      <c r="E167" s="6">
        <v>1</v>
      </c>
      <c r="F167" s="5">
        <v>0.10416666666666667</v>
      </c>
    </row>
    <row r="168" spans="1:6" x14ac:dyDescent="0.25">
      <c r="B168"/>
      <c r="C168" t="s">
        <v>243</v>
      </c>
      <c r="E168" s="6">
        <v>1</v>
      </c>
      <c r="F168" s="5">
        <v>0.10416666666666667</v>
      </c>
    </row>
    <row r="169" spans="1:6" x14ac:dyDescent="0.25">
      <c r="B169"/>
      <c r="C169" t="s">
        <v>77</v>
      </c>
      <c r="D169" s="2">
        <v>45728</v>
      </c>
      <c r="E169" s="6">
        <v>2</v>
      </c>
      <c r="F169" s="5">
        <v>0.13541666666666666</v>
      </c>
    </row>
    <row r="170" spans="1:6" x14ac:dyDescent="0.25">
      <c r="B170"/>
      <c r="C170" t="s">
        <v>244</v>
      </c>
      <c r="E170" s="6">
        <v>2</v>
      </c>
      <c r="F170" s="5">
        <v>0.13541666666666666</v>
      </c>
    </row>
    <row r="171" spans="1:6" x14ac:dyDescent="0.25">
      <c r="B171"/>
      <c r="C171" t="s">
        <v>78</v>
      </c>
      <c r="D171" s="2">
        <v>45729</v>
      </c>
      <c r="E171" s="6">
        <v>1</v>
      </c>
      <c r="F171" s="5">
        <v>0.30555555555555558</v>
      </c>
    </row>
    <row r="172" spans="1:6" x14ac:dyDescent="0.25">
      <c r="B172"/>
      <c r="C172" t="s">
        <v>245</v>
      </c>
      <c r="E172" s="6">
        <v>1</v>
      </c>
      <c r="F172" s="5">
        <v>0.30555555555555558</v>
      </c>
    </row>
    <row r="173" spans="1:6" x14ac:dyDescent="0.25">
      <c r="B173" t="s">
        <v>162</v>
      </c>
      <c r="E173" s="6">
        <v>8</v>
      </c>
      <c r="F173" s="5">
        <v>1.0972222222222223</v>
      </c>
    </row>
    <row r="174" spans="1:6" x14ac:dyDescent="0.25">
      <c r="A174" s="8" t="s">
        <v>246</v>
      </c>
      <c r="B174"/>
      <c r="E174" s="6">
        <v>8</v>
      </c>
      <c r="F174" s="38">
        <v>1.0972222222222223</v>
      </c>
    </row>
    <row r="175" spans="1:6" x14ac:dyDescent="0.25">
      <c r="A175" s="8">
        <v>24</v>
      </c>
      <c r="B175" t="s">
        <v>51</v>
      </c>
      <c r="C175" t="s">
        <v>79</v>
      </c>
      <c r="D175" s="2">
        <v>45817</v>
      </c>
      <c r="E175" s="6">
        <v>3</v>
      </c>
      <c r="F175" s="5">
        <v>0</v>
      </c>
    </row>
    <row r="176" spans="1:6" x14ac:dyDescent="0.25">
      <c r="B176"/>
      <c r="C176" t="s">
        <v>247</v>
      </c>
      <c r="E176" s="6">
        <v>3</v>
      </c>
      <c r="F176" s="5">
        <v>0</v>
      </c>
    </row>
    <row r="177" spans="1:6" x14ac:dyDescent="0.25">
      <c r="B177"/>
      <c r="C177" t="s">
        <v>80</v>
      </c>
      <c r="D177" s="2">
        <v>45818</v>
      </c>
      <c r="E177" s="6">
        <v>4</v>
      </c>
      <c r="F177" s="5">
        <v>0.36458333333333331</v>
      </c>
    </row>
    <row r="178" spans="1:6" x14ac:dyDescent="0.25">
      <c r="B178"/>
      <c r="C178" t="s">
        <v>248</v>
      </c>
      <c r="E178" s="6">
        <v>4</v>
      </c>
      <c r="F178" s="5">
        <v>0.36458333333333331</v>
      </c>
    </row>
    <row r="179" spans="1:6" x14ac:dyDescent="0.25">
      <c r="B179"/>
      <c r="C179" t="s">
        <v>81</v>
      </c>
      <c r="D179" s="2">
        <v>45819</v>
      </c>
      <c r="E179" s="6">
        <v>4</v>
      </c>
      <c r="F179" s="5">
        <v>0.4861111111111111</v>
      </c>
    </row>
    <row r="180" spans="1:6" x14ac:dyDescent="0.25">
      <c r="B180"/>
      <c r="C180" t="s">
        <v>249</v>
      </c>
      <c r="E180" s="6">
        <v>4</v>
      </c>
      <c r="F180" s="5">
        <v>0.4861111111111111</v>
      </c>
    </row>
    <row r="181" spans="1:6" x14ac:dyDescent="0.25">
      <c r="B181"/>
      <c r="C181" t="s">
        <v>82</v>
      </c>
      <c r="D181" s="2">
        <v>45820</v>
      </c>
      <c r="E181" s="6">
        <v>5</v>
      </c>
      <c r="F181" s="5">
        <v>0.48472222222222228</v>
      </c>
    </row>
    <row r="182" spans="1:6" x14ac:dyDescent="0.25">
      <c r="B182"/>
      <c r="C182" t="s">
        <v>250</v>
      </c>
      <c r="E182" s="6">
        <v>5</v>
      </c>
      <c r="F182" s="5">
        <v>0.48472222222222228</v>
      </c>
    </row>
    <row r="183" spans="1:6" x14ac:dyDescent="0.25">
      <c r="B183" t="s">
        <v>215</v>
      </c>
      <c r="E183" s="6">
        <v>16</v>
      </c>
      <c r="F183" s="5">
        <v>1.3354166666666665</v>
      </c>
    </row>
    <row r="184" spans="1:6" x14ac:dyDescent="0.25">
      <c r="A184" s="8" t="s">
        <v>251</v>
      </c>
      <c r="B184"/>
      <c r="E184" s="6">
        <v>16</v>
      </c>
      <c r="F184" s="38">
        <v>1.3354166666666665</v>
      </c>
    </row>
    <row r="185" spans="1:6" x14ac:dyDescent="0.25">
      <c r="A185" s="8">
        <v>25</v>
      </c>
      <c r="B185" t="s">
        <v>51</v>
      </c>
      <c r="C185" t="s">
        <v>83</v>
      </c>
      <c r="D185" s="2">
        <v>45825</v>
      </c>
      <c r="E185" s="6">
        <v>2</v>
      </c>
      <c r="F185" s="5">
        <v>0.20833333333333334</v>
      </c>
    </row>
    <row r="186" spans="1:6" x14ac:dyDescent="0.25">
      <c r="B186"/>
      <c r="C186" t="s">
        <v>252</v>
      </c>
      <c r="E186" s="6">
        <v>2</v>
      </c>
      <c r="F186" s="5">
        <v>0.20833333333333334</v>
      </c>
    </row>
    <row r="187" spans="1:6" x14ac:dyDescent="0.25">
      <c r="B187"/>
      <c r="C187" t="s">
        <v>84</v>
      </c>
      <c r="D187" s="2">
        <v>45826</v>
      </c>
      <c r="E187" s="6">
        <v>4</v>
      </c>
      <c r="F187" s="5">
        <v>0.4548611111111111</v>
      </c>
    </row>
    <row r="188" spans="1:6" x14ac:dyDescent="0.25">
      <c r="B188"/>
      <c r="C188" t="s">
        <v>253</v>
      </c>
      <c r="E188" s="6">
        <v>4</v>
      </c>
      <c r="F188" s="5">
        <v>0.4548611111111111</v>
      </c>
    </row>
    <row r="189" spans="1:6" x14ac:dyDescent="0.25">
      <c r="B189"/>
      <c r="C189" t="s">
        <v>85</v>
      </c>
      <c r="D189" s="2">
        <v>45828</v>
      </c>
      <c r="E189" s="6">
        <v>3</v>
      </c>
      <c r="F189" s="5">
        <v>0</v>
      </c>
    </row>
    <row r="190" spans="1:6" x14ac:dyDescent="0.25">
      <c r="B190"/>
      <c r="C190" t="s">
        <v>254</v>
      </c>
      <c r="E190" s="6">
        <v>3</v>
      </c>
      <c r="F190" s="5">
        <v>0</v>
      </c>
    </row>
    <row r="191" spans="1:6" x14ac:dyDescent="0.25">
      <c r="B191" t="s">
        <v>215</v>
      </c>
      <c r="E191" s="6">
        <v>9</v>
      </c>
      <c r="F191" s="5">
        <v>0.66319444444444442</v>
      </c>
    </row>
    <row r="192" spans="1:6" x14ac:dyDescent="0.25">
      <c r="A192" s="8" t="s">
        <v>255</v>
      </c>
      <c r="B192"/>
      <c r="E192" s="6">
        <v>9</v>
      </c>
      <c r="F192" s="38">
        <v>0.66319444444444442</v>
      </c>
    </row>
    <row r="193" spans="1:6" x14ac:dyDescent="0.25">
      <c r="A193" s="8">
        <v>26</v>
      </c>
      <c r="B193" t="s">
        <v>51</v>
      </c>
      <c r="C193" t="s">
        <v>86</v>
      </c>
      <c r="D193" s="2">
        <v>45833</v>
      </c>
      <c r="E193" s="6">
        <v>2</v>
      </c>
      <c r="F193" s="5">
        <v>0.53819444444444442</v>
      </c>
    </row>
    <row r="194" spans="1:6" x14ac:dyDescent="0.25">
      <c r="B194"/>
      <c r="C194" t="s">
        <v>256</v>
      </c>
      <c r="E194" s="6">
        <v>2</v>
      </c>
      <c r="F194" s="5">
        <v>0.53819444444444442</v>
      </c>
    </row>
    <row r="195" spans="1:6" x14ac:dyDescent="0.25">
      <c r="B195"/>
      <c r="C195" t="s">
        <v>87</v>
      </c>
      <c r="D195" s="2">
        <v>45834</v>
      </c>
      <c r="E195" s="6">
        <v>4</v>
      </c>
      <c r="F195" s="5">
        <v>0.52083333333333326</v>
      </c>
    </row>
    <row r="196" spans="1:6" x14ac:dyDescent="0.25">
      <c r="B196"/>
      <c r="C196" t="s">
        <v>257</v>
      </c>
      <c r="E196" s="6">
        <v>4</v>
      </c>
      <c r="F196" s="5">
        <v>0.52083333333333326</v>
      </c>
    </row>
    <row r="197" spans="1:6" x14ac:dyDescent="0.25">
      <c r="B197"/>
      <c r="C197" t="s">
        <v>88</v>
      </c>
      <c r="D197" s="2">
        <v>45835</v>
      </c>
      <c r="E197" s="6">
        <v>5</v>
      </c>
      <c r="F197" s="5">
        <v>0.49305555555555552</v>
      </c>
    </row>
    <row r="198" spans="1:6" x14ac:dyDescent="0.25">
      <c r="B198"/>
      <c r="C198" t="s">
        <v>258</v>
      </c>
      <c r="E198" s="6">
        <v>5</v>
      </c>
      <c r="F198" s="5">
        <v>0.49305555555555552</v>
      </c>
    </row>
    <row r="199" spans="1:6" x14ac:dyDescent="0.25">
      <c r="B199" t="s">
        <v>215</v>
      </c>
      <c r="E199" s="6">
        <v>11</v>
      </c>
      <c r="F199" s="5">
        <v>1.552083333333333</v>
      </c>
    </row>
    <row r="200" spans="1:6" x14ac:dyDescent="0.25">
      <c r="A200" s="8" t="s">
        <v>259</v>
      </c>
      <c r="B200"/>
      <c r="E200" s="6">
        <v>11</v>
      </c>
      <c r="F200" s="38">
        <v>1.552083333333333</v>
      </c>
    </row>
    <row r="201" spans="1:6" x14ac:dyDescent="0.25">
      <c r="A201" s="8">
        <v>27</v>
      </c>
      <c r="B201" t="s">
        <v>51</v>
      </c>
      <c r="C201" t="s">
        <v>89</v>
      </c>
      <c r="D201" s="2">
        <v>45838</v>
      </c>
      <c r="E201" s="6">
        <v>4</v>
      </c>
      <c r="F201" s="5">
        <v>0.55208333333333337</v>
      </c>
    </row>
    <row r="202" spans="1:6" x14ac:dyDescent="0.25">
      <c r="B202"/>
      <c r="C202" t="s">
        <v>260</v>
      </c>
      <c r="E202" s="6">
        <v>4</v>
      </c>
      <c r="F202" s="5">
        <v>0.55208333333333337</v>
      </c>
    </row>
    <row r="203" spans="1:6" x14ac:dyDescent="0.25">
      <c r="B203" t="s">
        <v>215</v>
      </c>
      <c r="E203" s="6">
        <v>4</v>
      </c>
      <c r="F203" s="5">
        <v>0.55208333333333337</v>
      </c>
    </row>
    <row r="204" spans="1:6" x14ac:dyDescent="0.25">
      <c r="B204" t="s">
        <v>90</v>
      </c>
      <c r="C204" t="s">
        <v>91</v>
      </c>
      <c r="D204" s="2">
        <v>45839</v>
      </c>
      <c r="E204" s="6">
        <v>4</v>
      </c>
      <c r="F204" s="5">
        <v>0.35069444444444448</v>
      </c>
    </row>
    <row r="205" spans="1:6" x14ac:dyDescent="0.25">
      <c r="B205"/>
      <c r="C205" t="s">
        <v>261</v>
      </c>
      <c r="E205" s="6">
        <v>4</v>
      </c>
      <c r="F205" s="5">
        <v>0.35069444444444448</v>
      </c>
    </row>
    <row r="206" spans="1:6" x14ac:dyDescent="0.25">
      <c r="B206"/>
      <c r="C206" t="s">
        <v>92</v>
      </c>
      <c r="D206" s="2">
        <v>45840</v>
      </c>
      <c r="E206" s="6">
        <v>6</v>
      </c>
      <c r="F206" s="5">
        <v>0.51041666666666663</v>
      </c>
    </row>
    <row r="207" spans="1:6" x14ac:dyDescent="0.25">
      <c r="B207"/>
      <c r="C207" t="s">
        <v>262</v>
      </c>
      <c r="E207" s="6">
        <v>6</v>
      </c>
      <c r="F207" s="5">
        <v>0.51041666666666663</v>
      </c>
    </row>
    <row r="208" spans="1:6" x14ac:dyDescent="0.25">
      <c r="B208"/>
      <c r="C208" t="s">
        <v>93</v>
      </c>
      <c r="D208" s="2">
        <v>45841</v>
      </c>
      <c r="E208" s="6">
        <v>4</v>
      </c>
      <c r="F208" s="5">
        <v>0.52083333333333337</v>
      </c>
    </row>
    <row r="209" spans="1:6" x14ac:dyDescent="0.25">
      <c r="B209"/>
      <c r="C209" t="s">
        <v>263</v>
      </c>
      <c r="E209" s="6">
        <v>4</v>
      </c>
      <c r="F209" s="5">
        <v>0.52083333333333337</v>
      </c>
    </row>
    <row r="210" spans="1:6" x14ac:dyDescent="0.25">
      <c r="B210"/>
      <c r="C210" t="s">
        <v>94</v>
      </c>
      <c r="D210" s="2">
        <v>45842</v>
      </c>
      <c r="E210" s="6">
        <v>1</v>
      </c>
      <c r="F210" s="5">
        <v>0.25</v>
      </c>
    </row>
    <row r="211" spans="1:6" x14ac:dyDescent="0.25">
      <c r="B211"/>
      <c r="C211" t="s">
        <v>264</v>
      </c>
      <c r="E211" s="6">
        <v>1</v>
      </c>
      <c r="F211" s="5">
        <v>0.25</v>
      </c>
    </row>
    <row r="212" spans="1:6" x14ac:dyDescent="0.25">
      <c r="B212" t="s">
        <v>265</v>
      </c>
      <c r="E212" s="6">
        <v>15</v>
      </c>
      <c r="F212" s="5">
        <v>1.6319444444444442</v>
      </c>
    </row>
    <row r="213" spans="1:6" x14ac:dyDescent="0.25">
      <c r="A213" s="8" t="s">
        <v>266</v>
      </c>
      <c r="B213"/>
      <c r="E213" s="6">
        <v>19</v>
      </c>
      <c r="F213" s="38">
        <v>2.1840277777777777</v>
      </c>
    </row>
    <row r="214" spans="1:6" x14ac:dyDescent="0.25">
      <c r="A214" s="8">
        <v>28</v>
      </c>
      <c r="B214" t="s">
        <v>90</v>
      </c>
      <c r="C214" t="s">
        <v>95</v>
      </c>
      <c r="D214" s="2">
        <v>45845</v>
      </c>
      <c r="E214" s="6">
        <v>1</v>
      </c>
      <c r="F214" s="5">
        <v>0.28125</v>
      </c>
    </row>
    <row r="215" spans="1:6" x14ac:dyDescent="0.25">
      <c r="B215"/>
      <c r="C215" t="s">
        <v>267</v>
      </c>
      <c r="E215" s="6">
        <v>1</v>
      </c>
      <c r="F215" s="5">
        <v>0.28125</v>
      </c>
    </row>
    <row r="216" spans="1:6" x14ac:dyDescent="0.25">
      <c r="B216"/>
      <c r="C216" t="s">
        <v>96</v>
      </c>
      <c r="D216" s="2">
        <v>45846</v>
      </c>
      <c r="E216" s="6">
        <v>4</v>
      </c>
      <c r="F216" s="5">
        <v>0.56597222222222221</v>
      </c>
    </row>
    <row r="217" spans="1:6" x14ac:dyDescent="0.25">
      <c r="B217"/>
      <c r="C217" t="s">
        <v>268</v>
      </c>
      <c r="E217" s="6">
        <v>4</v>
      </c>
      <c r="F217" s="5">
        <v>0.56597222222222221</v>
      </c>
    </row>
    <row r="218" spans="1:6" x14ac:dyDescent="0.25">
      <c r="B218"/>
      <c r="C218" t="s">
        <v>97</v>
      </c>
      <c r="D218" s="2">
        <v>45847</v>
      </c>
      <c r="E218" s="6">
        <v>4</v>
      </c>
      <c r="F218" s="5">
        <v>0.57291666666666663</v>
      </c>
    </row>
    <row r="219" spans="1:6" x14ac:dyDescent="0.25">
      <c r="B219"/>
      <c r="C219" t="s">
        <v>269</v>
      </c>
      <c r="E219" s="6">
        <v>4</v>
      </c>
      <c r="F219" s="5">
        <v>0.57291666666666663</v>
      </c>
    </row>
    <row r="220" spans="1:6" x14ac:dyDescent="0.25">
      <c r="B220"/>
      <c r="C220" t="s">
        <v>98</v>
      </c>
      <c r="D220" s="2">
        <v>45848</v>
      </c>
      <c r="E220" s="6">
        <v>2</v>
      </c>
      <c r="F220" s="5">
        <v>0.34375</v>
      </c>
    </row>
    <row r="221" spans="1:6" x14ac:dyDescent="0.25">
      <c r="B221"/>
      <c r="C221" t="s">
        <v>270</v>
      </c>
      <c r="E221" s="6">
        <v>2</v>
      </c>
      <c r="F221" s="5">
        <v>0.34375</v>
      </c>
    </row>
    <row r="222" spans="1:6" x14ac:dyDescent="0.25">
      <c r="B222"/>
      <c r="C222" t="s">
        <v>99</v>
      </c>
      <c r="D222" s="2">
        <v>45849</v>
      </c>
      <c r="E222" s="6">
        <v>2</v>
      </c>
      <c r="F222" s="5">
        <v>0.1111111111111111</v>
      </c>
    </row>
    <row r="223" spans="1:6" x14ac:dyDescent="0.25">
      <c r="B223"/>
      <c r="C223" t="s">
        <v>271</v>
      </c>
      <c r="E223" s="6">
        <v>2</v>
      </c>
      <c r="F223" s="5">
        <v>0.1111111111111111</v>
      </c>
    </row>
    <row r="224" spans="1:6" x14ac:dyDescent="0.25">
      <c r="B224" t="s">
        <v>265</v>
      </c>
      <c r="E224" s="6">
        <v>13</v>
      </c>
      <c r="F224" s="5">
        <v>1.8749999999999998</v>
      </c>
    </row>
    <row r="225" spans="1:6" x14ac:dyDescent="0.25">
      <c r="A225" s="8" t="s">
        <v>272</v>
      </c>
      <c r="B225"/>
      <c r="E225" s="6">
        <v>13</v>
      </c>
      <c r="F225" s="38">
        <v>1.8749999999999998</v>
      </c>
    </row>
    <row r="226" spans="1:6" x14ac:dyDescent="0.25">
      <c r="A226" s="8">
        <v>29</v>
      </c>
      <c r="B226" t="s">
        <v>90</v>
      </c>
      <c r="C226" t="s">
        <v>100</v>
      </c>
      <c r="D226" s="2">
        <v>45852</v>
      </c>
      <c r="E226" s="6">
        <v>1</v>
      </c>
      <c r="F226" s="5">
        <v>9.0277777777777776E-2</v>
      </c>
    </row>
    <row r="227" spans="1:6" x14ac:dyDescent="0.25">
      <c r="B227"/>
      <c r="C227" t="s">
        <v>273</v>
      </c>
      <c r="E227" s="6">
        <v>1</v>
      </c>
      <c r="F227" s="5">
        <v>9.0277777777777776E-2</v>
      </c>
    </row>
    <row r="228" spans="1:6" x14ac:dyDescent="0.25">
      <c r="B228"/>
      <c r="C228" t="s">
        <v>101</v>
      </c>
      <c r="D228" s="2">
        <v>45853</v>
      </c>
      <c r="E228" s="6">
        <v>2</v>
      </c>
      <c r="F228" s="5">
        <v>0</v>
      </c>
    </row>
    <row r="229" spans="1:6" x14ac:dyDescent="0.25">
      <c r="B229"/>
      <c r="C229" t="s">
        <v>274</v>
      </c>
      <c r="E229" s="6">
        <v>2</v>
      </c>
      <c r="F229" s="5">
        <v>0</v>
      </c>
    </row>
    <row r="230" spans="1:6" x14ac:dyDescent="0.25">
      <c r="B230"/>
      <c r="C230" t="s">
        <v>102</v>
      </c>
      <c r="D230" s="2">
        <v>45854</v>
      </c>
      <c r="E230" s="6">
        <v>2</v>
      </c>
      <c r="F230" s="5">
        <v>0.35069444444444442</v>
      </c>
    </row>
    <row r="231" spans="1:6" x14ac:dyDescent="0.25">
      <c r="B231"/>
      <c r="C231" t="s">
        <v>275</v>
      </c>
      <c r="E231" s="6">
        <v>2</v>
      </c>
      <c r="F231" s="5">
        <v>0.35069444444444442</v>
      </c>
    </row>
    <row r="232" spans="1:6" x14ac:dyDescent="0.25">
      <c r="B232"/>
      <c r="C232" t="s">
        <v>103</v>
      </c>
      <c r="D232" s="2">
        <v>45855</v>
      </c>
      <c r="E232" s="6">
        <v>4</v>
      </c>
      <c r="F232" s="5">
        <v>0.34375</v>
      </c>
    </row>
    <row r="233" spans="1:6" x14ac:dyDescent="0.25">
      <c r="B233"/>
      <c r="C233" t="s">
        <v>276</v>
      </c>
      <c r="E233" s="6">
        <v>4</v>
      </c>
      <c r="F233" s="5">
        <v>0.34375</v>
      </c>
    </row>
    <row r="234" spans="1:6" x14ac:dyDescent="0.25">
      <c r="B234"/>
      <c r="C234" t="s">
        <v>104</v>
      </c>
      <c r="D234" s="2">
        <v>45856</v>
      </c>
      <c r="E234" s="6">
        <v>2</v>
      </c>
      <c r="F234" s="5">
        <v>0</v>
      </c>
    </row>
    <row r="235" spans="1:6" x14ac:dyDescent="0.25">
      <c r="B235"/>
      <c r="C235" t="s">
        <v>277</v>
      </c>
      <c r="E235" s="6">
        <v>2</v>
      </c>
      <c r="F235" s="5">
        <v>0</v>
      </c>
    </row>
    <row r="236" spans="1:6" x14ac:dyDescent="0.25">
      <c r="B236" t="s">
        <v>265</v>
      </c>
      <c r="E236" s="6">
        <v>11</v>
      </c>
      <c r="F236" s="5">
        <v>0.78472222222222221</v>
      </c>
    </row>
    <row r="237" spans="1:6" x14ac:dyDescent="0.25">
      <c r="A237" s="8" t="s">
        <v>278</v>
      </c>
      <c r="B237"/>
      <c r="E237" s="6">
        <v>11</v>
      </c>
      <c r="F237" s="38">
        <v>0.78472222222222221</v>
      </c>
    </row>
    <row r="238" spans="1:6" x14ac:dyDescent="0.25">
      <c r="A238" s="8">
        <v>30</v>
      </c>
      <c r="B238" t="s">
        <v>90</v>
      </c>
      <c r="C238" t="s">
        <v>105</v>
      </c>
      <c r="D238" s="2">
        <v>45859</v>
      </c>
      <c r="E238" s="6">
        <v>3</v>
      </c>
      <c r="F238" s="5">
        <v>0.47222222222222221</v>
      </c>
    </row>
    <row r="239" spans="1:6" x14ac:dyDescent="0.25">
      <c r="B239"/>
      <c r="C239" t="s">
        <v>279</v>
      </c>
      <c r="E239" s="6">
        <v>3</v>
      </c>
      <c r="F239" s="5">
        <v>0.47222222222222221</v>
      </c>
    </row>
    <row r="240" spans="1:6" x14ac:dyDescent="0.25">
      <c r="B240"/>
      <c r="C240" t="s">
        <v>106</v>
      </c>
      <c r="D240" s="2">
        <v>45860</v>
      </c>
      <c r="E240" s="6">
        <v>6</v>
      </c>
      <c r="F240" s="5">
        <v>0.53124999999999989</v>
      </c>
    </row>
    <row r="241" spans="1:6" x14ac:dyDescent="0.25">
      <c r="B241"/>
      <c r="C241" t="s">
        <v>280</v>
      </c>
      <c r="E241" s="6">
        <v>6</v>
      </c>
      <c r="F241" s="5">
        <v>0.53124999999999989</v>
      </c>
    </row>
    <row r="242" spans="1:6" x14ac:dyDescent="0.25">
      <c r="B242"/>
      <c r="C242" t="s">
        <v>107</v>
      </c>
      <c r="D242" s="2">
        <v>45861</v>
      </c>
      <c r="E242" s="6">
        <v>4</v>
      </c>
      <c r="F242" s="5">
        <v>0.23958333333333331</v>
      </c>
    </row>
    <row r="243" spans="1:6" x14ac:dyDescent="0.25">
      <c r="B243"/>
      <c r="C243" t="s">
        <v>281</v>
      </c>
      <c r="E243" s="6">
        <v>4</v>
      </c>
      <c r="F243" s="5">
        <v>0.23958333333333331</v>
      </c>
    </row>
    <row r="244" spans="1:6" x14ac:dyDescent="0.25">
      <c r="B244"/>
      <c r="C244" t="s">
        <v>108</v>
      </c>
      <c r="D244" s="2">
        <v>45863</v>
      </c>
      <c r="E244" s="6">
        <v>1</v>
      </c>
      <c r="F244" s="5">
        <v>1.7361111111111112E-2</v>
      </c>
    </row>
    <row r="245" spans="1:6" x14ac:dyDescent="0.25">
      <c r="B245"/>
      <c r="C245" t="s">
        <v>282</v>
      </c>
      <c r="E245" s="6">
        <v>1</v>
      </c>
      <c r="F245" s="5">
        <v>1.7361111111111112E-2</v>
      </c>
    </row>
    <row r="246" spans="1:6" x14ac:dyDescent="0.25">
      <c r="B246" t="s">
        <v>265</v>
      </c>
      <c r="E246" s="6">
        <v>14</v>
      </c>
      <c r="F246" s="5">
        <v>1.2604166666666667</v>
      </c>
    </row>
    <row r="247" spans="1:6" x14ac:dyDescent="0.25">
      <c r="A247" s="8" t="s">
        <v>283</v>
      </c>
      <c r="B247"/>
      <c r="E247" s="6">
        <v>14</v>
      </c>
      <c r="F247" s="38">
        <v>1.2604166666666667</v>
      </c>
    </row>
    <row r="248" spans="1:6" x14ac:dyDescent="0.25">
      <c r="A248" s="8" t="s">
        <v>156</v>
      </c>
      <c r="B248"/>
      <c r="E248" s="6">
        <v>264</v>
      </c>
      <c r="F248" s="38">
        <v>33.69166666666667</v>
      </c>
    </row>
    <row r="249" spans="1:6" x14ac:dyDescent="0.25">
      <c r="B249"/>
    </row>
    <row r="250" spans="1:6" x14ac:dyDescent="0.25">
      <c r="B25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E0B02-2DD7-4B63-982E-D2C6ED196E13}">
  <dimension ref="A1:I56"/>
  <sheetViews>
    <sheetView workbookViewId="0">
      <selection activeCell="C49" sqref="C49"/>
    </sheetView>
  </sheetViews>
  <sheetFormatPr defaultColWidth="11.42578125" defaultRowHeight="15" x14ac:dyDescent="0.25"/>
  <cols>
    <col min="1" max="1" width="13.42578125" bestFit="1" customWidth="1"/>
    <col min="2" max="2" width="27" bestFit="1" customWidth="1"/>
    <col min="3" max="3" width="17.5703125" bestFit="1" customWidth="1"/>
    <col min="4" max="4" width="14.7109375" bestFit="1" customWidth="1"/>
    <col min="5" max="5" width="11.5703125" style="9" bestFit="1" customWidth="1"/>
    <col min="6" max="6" width="13.140625" bestFit="1" customWidth="1"/>
    <col min="7" max="7" width="17.28515625" bestFit="1" customWidth="1"/>
  </cols>
  <sheetData>
    <row r="1" spans="1:9" x14ac:dyDescent="0.25">
      <c r="G1" s="9"/>
      <c r="H1" t="str">
        <f>IF(G1&gt;1,"V","F")</f>
        <v>F</v>
      </c>
    </row>
    <row r="2" spans="1:9" x14ac:dyDescent="0.25">
      <c r="C2" s="8"/>
      <c r="D2" s="8">
        <v>1800</v>
      </c>
      <c r="F2" s="3">
        <v>0.625</v>
      </c>
    </row>
    <row r="3" spans="1:9" x14ac:dyDescent="0.25">
      <c r="A3" s="4" t="s">
        <v>155</v>
      </c>
      <c r="B3" t="s">
        <v>5</v>
      </c>
      <c r="C3" s="7" t="s">
        <v>111</v>
      </c>
      <c r="D3" s="7" t="s">
        <v>112</v>
      </c>
      <c r="E3" s="13" t="s">
        <v>113</v>
      </c>
      <c r="F3" s="1" t="s">
        <v>114</v>
      </c>
      <c r="G3" s="1" t="s">
        <v>115</v>
      </c>
    </row>
    <row r="4" spans="1:9" x14ac:dyDescent="0.25">
      <c r="A4" s="11">
        <v>12</v>
      </c>
      <c r="B4" s="12">
        <v>2.4222222222222221</v>
      </c>
      <c r="C4" s="8"/>
      <c r="D4" s="8" t="str">
        <f>IF(A4&lt;53,"",IFERROR(((HOUR(B4)*60+MINUTE(B4))/60)*$D$2,""))</f>
        <v/>
      </c>
      <c r="E4" s="9" t="str">
        <f>IFERROR(C4/D4,"")</f>
        <v/>
      </c>
      <c r="F4" s="9" t="str">
        <f t="shared" ref="F4:F56" si="0">IF(A4&lt;53,"",IFERROR(B4/$F$2,""))</f>
        <v/>
      </c>
      <c r="G4" t="str">
        <f>IF(F4="","",IF(F4&gt;1,"NO",""))</f>
        <v/>
      </c>
      <c r="H4" s="10"/>
      <c r="I4" t="s">
        <v>116</v>
      </c>
    </row>
    <row r="5" spans="1:9" x14ac:dyDescent="0.25">
      <c r="A5" s="11">
        <v>13</v>
      </c>
      <c r="B5" s="12">
        <v>1.7118055555555556</v>
      </c>
      <c r="C5" s="8"/>
      <c r="D5" s="8" t="str">
        <f t="shared" ref="D5:D56" si="1">IF(A5&lt;53,"",IFERROR(((HOUR(B5)*60+MINUTE(B5))/60)*$D$2,""))</f>
        <v/>
      </c>
      <c r="E5" s="9" t="str">
        <f t="shared" ref="E5:E56" si="2">IFERROR(C5/D5,"")</f>
        <v/>
      </c>
      <c r="F5" s="9" t="str">
        <f t="shared" si="0"/>
        <v/>
      </c>
      <c r="G5" t="str">
        <f t="shared" ref="G5:G56" si="3">IF(F5="","",IF(F5&gt;1,"NO",""))</f>
        <v/>
      </c>
    </row>
    <row r="6" spans="1:9" x14ac:dyDescent="0.25">
      <c r="A6" s="11">
        <v>15</v>
      </c>
      <c r="B6" s="12">
        <v>0</v>
      </c>
      <c r="C6" s="8"/>
      <c r="D6" s="8" t="str">
        <f t="shared" si="1"/>
        <v/>
      </c>
      <c r="E6" s="9" t="str">
        <f t="shared" si="2"/>
        <v/>
      </c>
      <c r="F6" s="9" t="str">
        <f t="shared" si="0"/>
        <v/>
      </c>
      <c r="G6" t="str">
        <f t="shared" si="3"/>
        <v/>
      </c>
    </row>
    <row r="7" spans="1:9" x14ac:dyDescent="0.25">
      <c r="A7" s="11">
        <v>16</v>
      </c>
      <c r="B7" s="12">
        <v>0</v>
      </c>
      <c r="C7" s="8"/>
      <c r="D7" s="8" t="str">
        <f t="shared" si="1"/>
        <v/>
      </c>
      <c r="E7" s="9" t="str">
        <f t="shared" si="2"/>
        <v/>
      </c>
      <c r="F7" s="9" t="str">
        <f t="shared" si="0"/>
        <v/>
      </c>
      <c r="G7" t="str">
        <f t="shared" si="3"/>
        <v/>
      </c>
    </row>
    <row r="8" spans="1:9" x14ac:dyDescent="0.25">
      <c r="A8" s="11">
        <v>17</v>
      </c>
      <c r="B8" s="12">
        <v>2.0694444444444442</v>
      </c>
      <c r="C8" s="8"/>
      <c r="D8" s="8" t="str">
        <f t="shared" si="1"/>
        <v/>
      </c>
      <c r="E8" s="9" t="str">
        <f t="shared" si="2"/>
        <v/>
      </c>
      <c r="F8" s="9" t="str">
        <f t="shared" si="0"/>
        <v/>
      </c>
      <c r="G8" t="str">
        <f t="shared" si="3"/>
        <v/>
      </c>
    </row>
    <row r="9" spans="1:9" x14ac:dyDescent="0.25">
      <c r="A9" s="11">
        <v>18</v>
      </c>
      <c r="B9" s="12">
        <v>1.46875</v>
      </c>
      <c r="C9" s="8"/>
      <c r="D9" s="8" t="str">
        <f t="shared" si="1"/>
        <v/>
      </c>
      <c r="E9" s="9" t="str">
        <f t="shared" si="2"/>
        <v/>
      </c>
      <c r="F9" s="9" t="str">
        <f t="shared" si="0"/>
        <v/>
      </c>
      <c r="G9" t="str">
        <f t="shared" si="3"/>
        <v/>
      </c>
    </row>
    <row r="10" spans="1:9" x14ac:dyDescent="0.25">
      <c r="A10" s="11">
        <v>19</v>
      </c>
      <c r="B10" s="12">
        <v>2.09375</v>
      </c>
      <c r="C10" s="8"/>
      <c r="D10" s="8" t="str">
        <f t="shared" si="1"/>
        <v/>
      </c>
      <c r="E10" s="9" t="str">
        <f t="shared" si="2"/>
        <v/>
      </c>
      <c r="F10" s="9" t="str">
        <f t="shared" si="0"/>
        <v/>
      </c>
      <c r="G10" t="str">
        <f t="shared" si="3"/>
        <v/>
      </c>
    </row>
    <row r="11" spans="1:9" x14ac:dyDescent="0.25">
      <c r="A11" s="11">
        <v>20</v>
      </c>
      <c r="B11" s="12">
        <v>1.9201388888888891</v>
      </c>
      <c r="C11" s="8"/>
      <c r="D11" s="8" t="str">
        <f t="shared" si="1"/>
        <v/>
      </c>
      <c r="E11" s="9" t="str">
        <f t="shared" si="2"/>
        <v/>
      </c>
      <c r="F11" s="9" t="str">
        <f t="shared" si="0"/>
        <v/>
      </c>
      <c r="G11" t="str">
        <f t="shared" si="3"/>
        <v/>
      </c>
    </row>
    <row r="12" spans="1:9" x14ac:dyDescent="0.25">
      <c r="A12" s="11">
        <v>21</v>
      </c>
      <c r="B12" s="12">
        <v>2.2013888888888888</v>
      </c>
      <c r="C12" s="8"/>
      <c r="D12" s="8" t="str">
        <f t="shared" si="1"/>
        <v/>
      </c>
      <c r="E12" s="9" t="str">
        <f t="shared" si="2"/>
        <v/>
      </c>
      <c r="F12" s="9" t="str">
        <f t="shared" si="0"/>
        <v/>
      </c>
      <c r="G12" t="str">
        <f t="shared" si="3"/>
        <v/>
      </c>
    </row>
    <row r="13" spans="1:9" x14ac:dyDescent="0.25">
      <c r="A13" s="11">
        <v>22</v>
      </c>
      <c r="B13" s="12">
        <v>2.0069444444444442</v>
      </c>
      <c r="C13" s="8"/>
      <c r="D13" s="8" t="str">
        <f t="shared" si="1"/>
        <v/>
      </c>
      <c r="E13" s="9" t="str">
        <f t="shared" si="2"/>
        <v/>
      </c>
      <c r="F13" s="9" t="str">
        <f t="shared" si="0"/>
        <v/>
      </c>
      <c r="G13" t="str">
        <f t="shared" si="3"/>
        <v/>
      </c>
    </row>
    <row r="14" spans="1:9" x14ac:dyDescent="0.25">
      <c r="A14" s="11">
        <v>23</v>
      </c>
      <c r="B14" s="12">
        <v>0.99652777777777779</v>
      </c>
      <c r="C14" s="8"/>
      <c r="D14" s="8" t="str">
        <f t="shared" si="1"/>
        <v/>
      </c>
      <c r="E14" s="9" t="str">
        <f t="shared" si="2"/>
        <v/>
      </c>
      <c r="F14" s="9" t="str">
        <f t="shared" si="0"/>
        <v/>
      </c>
      <c r="G14" t="str">
        <f t="shared" si="3"/>
        <v/>
      </c>
    </row>
    <row r="15" spans="1:9" x14ac:dyDescent="0.25">
      <c r="A15" s="11">
        <v>6</v>
      </c>
      <c r="B15" s="12">
        <v>1.2569444444444446</v>
      </c>
      <c r="C15" s="8"/>
      <c r="D15" s="8" t="str">
        <f t="shared" si="1"/>
        <v/>
      </c>
      <c r="E15" s="9" t="str">
        <f t="shared" si="2"/>
        <v/>
      </c>
      <c r="F15" s="9" t="str">
        <f t="shared" si="0"/>
        <v/>
      </c>
      <c r="G15" t="str">
        <f t="shared" si="3"/>
        <v/>
      </c>
    </row>
    <row r="16" spans="1:9" x14ac:dyDescent="0.25">
      <c r="A16" s="11">
        <v>7</v>
      </c>
      <c r="B16" s="12">
        <v>1.8368055555555558</v>
      </c>
      <c r="C16" s="8"/>
      <c r="D16" s="8" t="str">
        <f t="shared" si="1"/>
        <v/>
      </c>
      <c r="E16" s="9" t="str">
        <f t="shared" si="2"/>
        <v/>
      </c>
      <c r="F16" s="9" t="str">
        <f t="shared" si="0"/>
        <v/>
      </c>
      <c r="G16" t="str">
        <f t="shared" si="3"/>
        <v/>
      </c>
    </row>
    <row r="17" spans="1:7" x14ac:dyDescent="0.25">
      <c r="A17" s="11">
        <v>8</v>
      </c>
      <c r="B17" s="12">
        <v>1.0972222222222223</v>
      </c>
      <c r="C17" s="8"/>
      <c r="D17" s="8" t="str">
        <f t="shared" si="1"/>
        <v/>
      </c>
      <c r="E17" s="9" t="str">
        <f t="shared" si="2"/>
        <v/>
      </c>
      <c r="F17" s="9" t="str">
        <f t="shared" si="0"/>
        <v/>
      </c>
      <c r="G17" t="str">
        <f t="shared" si="3"/>
        <v/>
      </c>
    </row>
    <row r="18" spans="1:7" x14ac:dyDescent="0.25">
      <c r="A18" s="11">
        <v>9</v>
      </c>
      <c r="B18" s="12">
        <v>0.3923611111111111</v>
      </c>
      <c r="C18" s="8"/>
      <c r="D18" s="8" t="str">
        <f t="shared" si="1"/>
        <v/>
      </c>
      <c r="E18" s="9" t="str">
        <f t="shared" si="2"/>
        <v/>
      </c>
      <c r="F18" s="9" t="str">
        <f t="shared" si="0"/>
        <v/>
      </c>
      <c r="G18" t="str">
        <f t="shared" si="3"/>
        <v/>
      </c>
    </row>
    <row r="19" spans="1:7" x14ac:dyDescent="0.25">
      <c r="A19" s="11">
        <v>10</v>
      </c>
      <c r="B19" s="12">
        <v>1.4652777777777779</v>
      </c>
      <c r="C19" s="8"/>
      <c r="D19" s="8" t="str">
        <f t="shared" si="1"/>
        <v/>
      </c>
      <c r="E19" s="9" t="str">
        <f t="shared" si="2"/>
        <v/>
      </c>
      <c r="F19" s="9" t="str">
        <f t="shared" si="0"/>
        <v/>
      </c>
      <c r="G19" t="str">
        <f t="shared" si="3"/>
        <v/>
      </c>
    </row>
    <row r="20" spans="1:7" x14ac:dyDescent="0.25">
      <c r="A20" s="11">
        <v>11</v>
      </c>
      <c r="B20" s="12">
        <v>1.0972222222222223</v>
      </c>
      <c r="C20" s="8"/>
      <c r="D20" s="8" t="str">
        <f t="shared" si="1"/>
        <v/>
      </c>
      <c r="E20" s="9" t="str">
        <f t="shared" si="2"/>
        <v/>
      </c>
      <c r="F20" s="9" t="str">
        <f t="shared" si="0"/>
        <v/>
      </c>
      <c r="G20" t="str">
        <f t="shared" si="3"/>
        <v/>
      </c>
    </row>
    <row r="21" spans="1:7" x14ac:dyDescent="0.25">
      <c r="A21" s="11">
        <v>24</v>
      </c>
      <c r="B21" s="12">
        <v>1.3354166666666665</v>
      </c>
      <c r="C21" s="8"/>
      <c r="D21" s="8" t="str">
        <f t="shared" si="1"/>
        <v/>
      </c>
      <c r="E21" s="9" t="str">
        <f t="shared" si="2"/>
        <v/>
      </c>
      <c r="F21" s="9" t="str">
        <f t="shared" si="0"/>
        <v/>
      </c>
      <c r="G21" t="str">
        <f t="shared" si="3"/>
        <v/>
      </c>
    </row>
    <row r="22" spans="1:7" x14ac:dyDescent="0.25">
      <c r="A22" s="11">
        <v>25</v>
      </c>
      <c r="B22" s="12">
        <v>0.66319444444444442</v>
      </c>
      <c r="C22" s="8"/>
      <c r="D22" s="8" t="str">
        <f t="shared" si="1"/>
        <v/>
      </c>
      <c r="E22" s="9" t="str">
        <f t="shared" si="2"/>
        <v/>
      </c>
      <c r="F22" s="9" t="str">
        <f t="shared" si="0"/>
        <v/>
      </c>
      <c r="G22" t="str">
        <f t="shared" si="3"/>
        <v/>
      </c>
    </row>
    <row r="23" spans="1:7" x14ac:dyDescent="0.25">
      <c r="A23" s="11">
        <v>26</v>
      </c>
      <c r="B23" s="12">
        <v>1.552083333333333</v>
      </c>
      <c r="C23" s="8"/>
      <c r="D23" s="8" t="str">
        <f t="shared" si="1"/>
        <v/>
      </c>
      <c r="E23" s="9" t="str">
        <f t="shared" si="2"/>
        <v/>
      </c>
      <c r="F23" s="9" t="str">
        <f t="shared" si="0"/>
        <v/>
      </c>
      <c r="G23" t="str">
        <f t="shared" si="3"/>
        <v/>
      </c>
    </row>
    <row r="24" spans="1:7" x14ac:dyDescent="0.25">
      <c r="A24" s="11">
        <v>27</v>
      </c>
      <c r="B24" s="12">
        <v>2.1840277777777777</v>
      </c>
      <c r="C24" s="8"/>
      <c r="D24" s="8" t="str">
        <f t="shared" si="1"/>
        <v/>
      </c>
      <c r="E24" s="9" t="str">
        <f t="shared" si="2"/>
        <v/>
      </c>
      <c r="F24" s="9" t="str">
        <f t="shared" si="0"/>
        <v/>
      </c>
      <c r="G24" t="str">
        <f t="shared" si="3"/>
        <v/>
      </c>
    </row>
    <row r="25" spans="1:7" x14ac:dyDescent="0.25">
      <c r="A25" s="11">
        <v>28</v>
      </c>
      <c r="B25" s="12">
        <v>1.8749999999999998</v>
      </c>
      <c r="C25" s="8"/>
      <c r="D25" s="8" t="str">
        <f t="shared" si="1"/>
        <v/>
      </c>
      <c r="E25" s="9" t="str">
        <f t="shared" si="2"/>
        <v/>
      </c>
      <c r="F25" s="9" t="str">
        <f t="shared" si="0"/>
        <v/>
      </c>
      <c r="G25" t="str">
        <f t="shared" si="3"/>
        <v/>
      </c>
    </row>
    <row r="26" spans="1:7" x14ac:dyDescent="0.25">
      <c r="A26" s="11">
        <v>29</v>
      </c>
      <c r="B26" s="12">
        <v>0.78472222222222221</v>
      </c>
      <c r="C26" s="8"/>
      <c r="D26" s="8" t="str">
        <f t="shared" si="1"/>
        <v/>
      </c>
      <c r="E26" s="9" t="str">
        <f t="shared" si="2"/>
        <v/>
      </c>
      <c r="F26" s="9" t="str">
        <f t="shared" si="0"/>
        <v/>
      </c>
      <c r="G26" t="str">
        <f t="shared" si="3"/>
        <v/>
      </c>
    </row>
    <row r="27" spans="1:7" x14ac:dyDescent="0.25">
      <c r="A27" s="11">
        <v>30</v>
      </c>
      <c r="B27" s="12">
        <v>1.2604166666666667</v>
      </c>
      <c r="C27" s="8"/>
      <c r="D27" s="8" t="str">
        <f t="shared" si="1"/>
        <v/>
      </c>
      <c r="E27" s="9" t="str">
        <f t="shared" si="2"/>
        <v/>
      </c>
      <c r="F27" s="9" t="str">
        <f t="shared" si="0"/>
        <v/>
      </c>
      <c r="G27" t="str">
        <f t="shared" si="3"/>
        <v/>
      </c>
    </row>
    <row r="28" spans="1:7" x14ac:dyDescent="0.25">
      <c r="A28" s="11" t="s">
        <v>156</v>
      </c>
      <c r="B28" s="12">
        <v>33.691666666666663</v>
      </c>
      <c r="C28" s="8"/>
      <c r="D28" s="8">
        <f t="shared" si="1"/>
        <v>29880.000000000004</v>
      </c>
      <c r="E28" s="9">
        <f t="shared" si="2"/>
        <v>0</v>
      </c>
      <c r="F28" s="9">
        <f t="shared" si="0"/>
        <v>53.906666666666659</v>
      </c>
      <c r="G28" t="str">
        <f t="shared" si="3"/>
        <v>NO</v>
      </c>
    </row>
    <row r="29" spans="1:7" x14ac:dyDescent="0.25">
      <c r="C29" s="8"/>
      <c r="D29" s="8" t="str">
        <f t="shared" si="1"/>
        <v/>
      </c>
      <c r="E29" s="9" t="str">
        <f t="shared" si="2"/>
        <v/>
      </c>
      <c r="F29" s="9" t="str">
        <f t="shared" si="0"/>
        <v/>
      </c>
      <c r="G29" t="str">
        <f t="shared" si="3"/>
        <v/>
      </c>
    </row>
    <row r="30" spans="1:7" x14ac:dyDescent="0.25">
      <c r="C30" s="8"/>
      <c r="D30" s="8" t="str">
        <f t="shared" si="1"/>
        <v/>
      </c>
      <c r="E30" s="9" t="str">
        <f t="shared" si="2"/>
        <v/>
      </c>
      <c r="F30" s="9" t="str">
        <f t="shared" si="0"/>
        <v/>
      </c>
      <c r="G30" t="str">
        <f t="shared" si="3"/>
        <v/>
      </c>
    </row>
    <row r="31" spans="1:7" x14ac:dyDescent="0.25">
      <c r="C31" s="8"/>
      <c r="D31" s="8" t="str">
        <f t="shared" si="1"/>
        <v/>
      </c>
      <c r="E31" s="9" t="str">
        <f t="shared" si="2"/>
        <v/>
      </c>
      <c r="F31" s="9" t="str">
        <f t="shared" si="0"/>
        <v/>
      </c>
      <c r="G31" t="str">
        <f t="shared" si="3"/>
        <v/>
      </c>
    </row>
    <row r="32" spans="1:7" x14ac:dyDescent="0.25">
      <c r="C32" s="8"/>
      <c r="D32" s="8" t="str">
        <f t="shared" si="1"/>
        <v/>
      </c>
      <c r="E32" s="9" t="str">
        <f t="shared" si="2"/>
        <v/>
      </c>
      <c r="F32" s="9" t="str">
        <f t="shared" si="0"/>
        <v/>
      </c>
      <c r="G32" t="str">
        <f t="shared" si="3"/>
        <v/>
      </c>
    </row>
    <row r="33" spans="3:7" x14ac:dyDescent="0.25">
      <c r="C33" s="8"/>
      <c r="D33" s="8" t="str">
        <f t="shared" si="1"/>
        <v/>
      </c>
      <c r="E33" s="9" t="str">
        <f t="shared" si="2"/>
        <v/>
      </c>
      <c r="F33" s="9" t="str">
        <f t="shared" si="0"/>
        <v/>
      </c>
      <c r="G33" t="str">
        <f t="shared" si="3"/>
        <v/>
      </c>
    </row>
    <row r="34" spans="3:7" x14ac:dyDescent="0.25">
      <c r="C34" s="8"/>
      <c r="D34" s="8" t="str">
        <f t="shared" si="1"/>
        <v/>
      </c>
      <c r="E34" s="9" t="str">
        <f t="shared" si="2"/>
        <v/>
      </c>
      <c r="F34" s="9" t="str">
        <f t="shared" si="0"/>
        <v/>
      </c>
      <c r="G34" t="str">
        <f t="shared" si="3"/>
        <v/>
      </c>
    </row>
    <row r="35" spans="3:7" x14ac:dyDescent="0.25">
      <c r="C35" s="8"/>
      <c r="D35" s="8" t="str">
        <f t="shared" si="1"/>
        <v/>
      </c>
      <c r="E35" s="9" t="str">
        <f t="shared" si="2"/>
        <v/>
      </c>
      <c r="F35" s="9" t="str">
        <f t="shared" si="0"/>
        <v/>
      </c>
      <c r="G35" t="str">
        <f t="shared" si="3"/>
        <v/>
      </c>
    </row>
    <row r="36" spans="3:7" x14ac:dyDescent="0.25">
      <c r="C36" s="8"/>
      <c r="D36" s="8" t="str">
        <f t="shared" si="1"/>
        <v/>
      </c>
      <c r="E36" s="9" t="str">
        <f t="shared" si="2"/>
        <v/>
      </c>
      <c r="F36" s="9" t="str">
        <f t="shared" si="0"/>
        <v/>
      </c>
      <c r="G36" t="str">
        <f t="shared" si="3"/>
        <v/>
      </c>
    </row>
    <row r="37" spans="3:7" x14ac:dyDescent="0.25">
      <c r="C37" s="8"/>
      <c r="D37" s="8" t="str">
        <f t="shared" si="1"/>
        <v/>
      </c>
      <c r="E37" s="9" t="str">
        <f t="shared" si="2"/>
        <v/>
      </c>
      <c r="F37" s="9" t="str">
        <f t="shared" si="0"/>
        <v/>
      </c>
      <c r="G37" t="str">
        <f t="shared" si="3"/>
        <v/>
      </c>
    </row>
    <row r="38" spans="3:7" x14ac:dyDescent="0.25">
      <c r="C38" s="8"/>
      <c r="D38" s="8" t="str">
        <f t="shared" si="1"/>
        <v/>
      </c>
      <c r="E38" s="9" t="str">
        <f t="shared" si="2"/>
        <v/>
      </c>
      <c r="F38" s="9" t="str">
        <f t="shared" si="0"/>
        <v/>
      </c>
      <c r="G38" t="str">
        <f t="shared" si="3"/>
        <v/>
      </c>
    </row>
    <row r="39" spans="3:7" x14ac:dyDescent="0.25">
      <c r="C39" s="8"/>
      <c r="D39" s="8" t="str">
        <f t="shared" si="1"/>
        <v/>
      </c>
      <c r="E39" s="9" t="str">
        <f t="shared" si="2"/>
        <v/>
      </c>
      <c r="F39" s="9" t="str">
        <f t="shared" si="0"/>
        <v/>
      </c>
      <c r="G39" t="str">
        <f t="shared" si="3"/>
        <v/>
      </c>
    </row>
    <row r="40" spans="3:7" x14ac:dyDescent="0.25">
      <c r="C40" s="8"/>
      <c r="D40" s="8" t="str">
        <f t="shared" si="1"/>
        <v/>
      </c>
      <c r="E40" s="9" t="str">
        <f t="shared" si="2"/>
        <v/>
      </c>
      <c r="F40" s="9" t="str">
        <f t="shared" si="0"/>
        <v/>
      </c>
      <c r="G40" t="str">
        <f t="shared" si="3"/>
        <v/>
      </c>
    </row>
    <row r="41" spans="3:7" x14ac:dyDescent="0.25">
      <c r="C41" s="8"/>
      <c r="D41" s="8" t="str">
        <f t="shared" si="1"/>
        <v/>
      </c>
      <c r="E41" s="9" t="str">
        <f t="shared" si="2"/>
        <v/>
      </c>
      <c r="F41" s="9" t="str">
        <f t="shared" si="0"/>
        <v/>
      </c>
      <c r="G41" t="str">
        <f t="shared" si="3"/>
        <v/>
      </c>
    </row>
    <row r="42" spans="3:7" x14ac:dyDescent="0.25">
      <c r="C42" s="8"/>
      <c r="D42" s="8" t="str">
        <f t="shared" si="1"/>
        <v/>
      </c>
      <c r="E42" s="9" t="str">
        <f t="shared" si="2"/>
        <v/>
      </c>
      <c r="F42" s="9" t="str">
        <f t="shared" si="0"/>
        <v/>
      </c>
      <c r="G42" t="str">
        <f t="shared" si="3"/>
        <v/>
      </c>
    </row>
    <row r="43" spans="3:7" x14ac:dyDescent="0.25">
      <c r="C43" s="8"/>
      <c r="D43" s="8" t="str">
        <f t="shared" si="1"/>
        <v/>
      </c>
      <c r="E43" s="9" t="str">
        <f t="shared" si="2"/>
        <v/>
      </c>
      <c r="F43" s="9" t="str">
        <f t="shared" si="0"/>
        <v/>
      </c>
      <c r="G43" t="str">
        <f t="shared" si="3"/>
        <v/>
      </c>
    </row>
    <row r="44" spans="3:7" x14ac:dyDescent="0.25">
      <c r="C44" s="8"/>
      <c r="D44" s="8" t="str">
        <f t="shared" si="1"/>
        <v/>
      </c>
      <c r="E44" s="9" t="str">
        <f t="shared" si="2"/>
        <v/>
      </c>
      <c r="F44" s="9" t="str">
        <f t="shared" si="0"/>
        <v/>
      </c>
      <c r="G44" t="str">
        <f t="shared" si="3"/>
        <v/>
      </c>
    </row>
    <row r="45" spans="3:7" x14ac:dyDescent="0.25">
      <c r="C45" s="8"/>
      <c r="D45" s="8" t="str">
        <f t="shared" si="1"/>
        <v/>
      </c>
      <c r="E45" s="9" t="str">
        <f t="shared" si="2"/>
        <v/>
      </c>
      <c r="F45" s="9" t="str">
        <f t="shared" si="0"/>
        <v/>
      </c>
      <c r="G45" t="str">
        <f t="shared" si="3"/>
        <v/>
      </c>
    </row>
    <row r="46" spans="3:7" x14ac:dyDescent="0.25">
      <c r="C46" s="8"/>
      <c r="D46" s="8" t="str">
        <f t="shared" si="1"/>
        <v/>
      </c>
      <c r="E46" s="9" t="str">
        <f t="shared" si="2"/>
        <v/>
      </c>
      <c r="F46" s="9" t="str">
        <f t="shared" si="0"/>
        <v/>
      </c>
      <c r="G46" t="str">
        <f t="shared" si="3"/>
        <v/>
      </c>
    </row>
    <row r="47" spans="3:7" x14ac:dyDescent="0.25">
      <c r="C47" s="8"/>
      <c r="D47" s="8" t="str">
        <f t="shared" si="1"/>
        <v/>
      </c>
      <c r="E47" s="9" t="str">
        <f t="shared" si="2"/>
        <v/>
      </c>
      <c r="F47" s="9" t="str">
        <f t="shared" si="0"/>
        <v/>
      </c>
      <c r="G47" t="str">
        <f t="shared" si="3"/>
        <v/>
      </c>
    </row>
    <row r="48" spans="3:7" x14ac:dyDescent="0.25">
      <c r="C48" s="8"/>
      <c r="D48" s="8" t="str">
        <f t="shared" si="1"/>
        <v/>
      </c>
      <c r="E48" s="9" t="str">
        <f t="shared" si="2"/>
        <v/>
      </c>
      <c r="F48" s="9" t="str">
        <f t="shared" si="0"/>
        <v/>
      </c>
      <c r="G48" t="str">
        <f t="shared" si="3"/>
        <v/>
      </c>
    </row>
    <row r="49" spans="3:7" x14ac:dyDescent="0.25">
      <c r="C49" s="8"/>
      <c r="D49" s="8" t="str">
        <f t="shared" si="1"/>
        <v/>
      </c>
      <c r="E49" s="9" t="str">
        <f t="shared" si="2"/>
        <v/>
      </c>
      <c r="F49" s="9" t="str">
        <f t="shared" si="0"/>
        <v/>
      </c>
      <c r="G49" t="str">
        <f t="shared" si="3"/>
        <v/>
      </c>
    </row>
    <row r="50" spans="3:7" x14ac:dyDescent="0.25">
      <c r="C50" s="8"/>
      <c r="D50" s="8" t="str">
        <f t="shared" si="1"/>
        <v/>
      </c>
      <c r="E50" s="9" t="str">
        <f t="shared" si="2"/>
        <v/>
      </c>
      <c r="F50" s="9" t="str">
        <f t="shared" si="0"/>
        <v/>
      </c>
      <c r="G50" t="str">
        <f t="shared" si="3"/>
        <v/>
      </c>
    </row>
    <row r="51" spans="3:7" x14ac:dyDescent="0.25">
      <c r="C51" s="8"/>
      <c r="D51" s="8" t="str">
        <f t="shared" si="1"/>
        <v/>
      </c>
      <c r="E51" s="9" t="str">
        <f t="shared" si="2"/>
        <v/>
      </c>
      <c r="F51" s="9" t="str">
        <f t="shared" si="0"/>
        <v/>
      </c>
      <c r="G51" t="str">
        <f t="shared" si="3"/>
        <v/>
      </c>
    </row>
    <row r="52" spans="3:7" x14ac:dyDescent="0.25">
      <c r="C52" s="8"/>
      <c r="D52" s="8" t="str">
        <f t="shared" si="1"/>
        <v/>
      </c>
      <c r="E52" s="9" t="str">
        <f t="shared" si="2"/>
        <v/>
      </c>
      <c r="F52" s="9" t="str">
        <f t="shared" si="0"/>
        <v/>
      </c>
      <c r="G52" t="str">
        <f t="shared" si="3"/>
        <v/>
      </c>
    </row>
    <row r="53" spans="3:7" x14ac:dyDescent="0.25">
      <c r="C53" s="8"/>
      <c r="D53" s="8" t="str">
        <f t="shared" si="1"/>
        <v/>
      </c>
      <c r="E53" s="9" t="str">
        <f t="shared" si="2"/>
        <v/>
      </c>
      <c r="F53" s="9" t="str">
        <f t="shared" si="0"/>
        <v/>
      </c>
      <c r="G53" t="str">
        <f t="shared" si="3"/>
        <v/>
      </c>
    </row>
    <row r="54" spans="3:7" x14ac:dyDescent="0.25">
      <c r="C54" s="8"/>
      <c r="D54" s="8" t="str">
        <f t="shared" si="1"/>
        <v/>
      </c>
      <c r="E54" s="9" t="str">
        <f t="shared" si="2"/>
        <v/>
      </c>
      <c r="F54" s="9" t="str">
        <f t="shared" si="0"/>
        <v/>
      </c>
      <c r="G54" t="str">
        <f t="shared" si="3"/>
        <v/>
      </c>
    </row>
    <row r="55" spans="3:7" x14ac:dyDescent="0.25">
      <c r="C55" s="8"/>
      <c r="D55" s="8" t="str">
        <f t="shared" si="1"/>
        <v/>
      </c>
      <c r="E55" s="9" t="str">
        <f t="shared" si="2"/>
        <v/>
      </c>
      <c r="F55" s="9" t="str">
        <f t="shared" si="0"/>
        <v/>
      </c>
      <c r="G55" t="str">
        <f t="shared" si="3"/>
        <v/>
      </c>
    </row>
    <row r="56" spans="3:7" x14ac:dyDescent="0.25">
      <c r="C56" s="8"/>
      <c r="D56" s="8" t="str">
        <f t="shared" si="1"/>
        <v/>
      </c>
      <c r="E56" s="9" t="str">
        <f t="shared" si="2"/>
        <v/>
      </c>
      <c r="F56" s="9" t="str">
        <f t="shared" si="0"/>
        <v/>
      </c>
      <c r="G56" t="str">
        <f t="shared" si="3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91DCC-0F47-4B73-B50A-3417C9D91D62}">
  <sheetPr>
    <tabColor rgb="FFFFFF00"/>
  </sheetPr>
  <dimension ref="A1:T27"/>
  <sheetViews>
    <sheetView showGridLines="0" zoomScale="86" workbookViewId="0">
      <selection activeCell="D27" sqref="D27"/>
    </sheetView>
  </sheetViews>
  <sheetFormatPr defaultColWidth="11.42578125" defaultRowHeight="15" x14ac:dyDescent="0.25"/>
  <cols>
    <col min="1" max="1" width="18.7109375" bestFit="1" customWidth="1"/>
    <col min="2" max="2" width="16.42578125" bestFit="1" customWidth="1"/>
    <col min="3" max="287" width="10.28515625" bestFit="1" customWidth="1"/>
    <col min="288" max="288" width="11.42578125" bestFit="1" customWidth="1"/>
  </cols>
  <sheetData>
    <row r="1" spans="1:20" x14ac:dyDescent="0.25">
      <c r="A1" s="4" t="s">
        <v>117</v>
      </c>
      <c r="B1" t="s">
        <v>118</v>
      </c>
    </row>
    <row r="3" spans="1:20" x14ac:dyDescent="0.25">
      <c r="A3" s="4" t="s">
        <v>110</v>
      </c>
      <c r="B3" t="s">
        <v>119</v>
      </c>
      <c r="T3" s="10"/>
    </row>
    <row r="4" spans="1:20" x14ac:dyDescent="0.25">
      <c r="A4" s="14">
        <v>6</v>
      </c>
      <c r="B4" s="10">
        <v>0.32800000000000001</v>
      </c>
      <c r="T4" s="10"/>
    </row>
    <row r="5" spans="1:20" x14ac:dyDescent="0.25">
      <c r="A5" s="14">
        <v>7</v>
      </c>
      <c r="B5" s="10">
        <v>0.38013333333333343</v>
      </c>
      <c r="T5" s="10"/>
    </row>
    <row r="6" spans="1:20" x14ac:dyDescent="0.25">
      <c r="A6" s="14">
        <v>8</v>
      </c>
      <c r="B6" s="10">
        <v>0.17831481481481481</v>
      </c>
      <c r="T6" s="10"/>
    </row>
    <row r="7" spans="1:20" x14ac:dyDescent="0.25">
      <c r="A7" s="14">
        <v>9</v>
      </c>
      <c r="B7" s="10">
        <v>0.26048148148148137</v>
      </c>
      <c r="T7" s="10"/>
    </row>
    <row r="8" spans="1:20" x14ac:dyDescent="0.25">
      <c r="A8" s="14">
        <v>10</v>
      </c>
      <c r="B8" s="10">
        <v>0.22514814814814818</v>
      </c>
      <c r="T8" s="10"/>
    </row>
    <row r="9" spans="1:20" x14ac:dyDescent="0.25">
      <c r="A9" s="14">
        <v>11</v>
      </c>
      <c r="B9" s="10">
        <v>0.24329629629629629</v>
      </c>
      <c r="T9" s="10"/>
    </row>
    <row r="10" spans="1:20" x14ac:dyDescent="0.25">
      <c r="A10" s="14">
        <v>12</v>
      </c>
      <c r="B10" s="10">
        <v>0.56007407407407395</v>
      </c>
      <c r="T10" s="10"/>
    </row>
    <row r="11" spans="1:20" x14ac:dyDescent="0.25">
      <c r="A11" s="14">
        <v>13</v>
      </c>
      <c r="B11" s="10">
        <v>0.36076296296296301</v>
      </c>
      <c r="T11" s="10"/>
    </row>
    <row r="12" spans="1:20" x14ac:dyDescent="0.25">
      <c r="A12" s="14">
        <v>17</v>
      </c>
      <c r="B12" s="10">
        <v>0.30397222222222225</v>
      </c>
      <c r="T12" s="10"/>
    </row>
    <row r="13" spans="1:20" x14ac:dyDescent="0.25">
      <c r="A13" s="14">
        <v>18</v>
      </c>
      <c r="B13" s="10">
        <v>0.30457548252477828</v>
      </c>
      <c r="T13" s="10"/>
    </row>
    <row r="14" spans="1:20" x14ac:dyDescent="0.25">
      <c r="A14" s="14">
        <v>19</v>
      </c>
      <c r="B14" s="10">
        <v>0.35932592592592594</v>
      </c>
      <c r="T14" s="10"/>
    </row>
    <row r="15" spans="1:20" x14ac:dyDescent="0.25">
      <c r="A15" s="14">
        <v>20</v>
      </c>
      <c r="B15" s="10">
        <v>0.5198370370370371</v>
      </c>
      <c r="T15" s="10"/>
    </row>
    <row r="16" spans="1:20" x14ac:dyDescent="0.25">
      <c r="A16" s="14">
        <v>21</v>
      </c>
      <c r="B16" s="10">
        <v>0.41614814814814816</v>
      </c>
      <c r="T16" s="10"/>
    </row>
    <row r="17" spans="1:20" x14ac:dyDescent="0.25">
      <c r="A17" s="14">
        <v>22</v>
      </c>
      <c r="B17" s="10">
        <v>0.38439259259259262</v>
      </c>
      <c r="T17" s="10"/>
    </row>
    <row r="18" spans="1:20" x14ac:dyDescent="0.25">
      <c r="A18" s="14">
        <v>23</v>
      </c>
      <c r="B18" s="10">
        <v>0.43825000000000003</v>
      </c>
      <c r="T18" s="10"/>
    </row>
    <row r="19" spans="1:20" x14ac:dyDescent="0.25">
      <c r="A19" s="14">
        <v>24</v>
      </c>
      <c r="B19" s="10">
        <v>0.37439999999999996</v>
      </c>
      <c r="T19" s="10"/>
    </row>
    <row r="20" spans="1:20" x14ac:dyDescent="0.25">
      <c r="A20" s="14">
        <v>25</v>
      </c>
      <c r="B20" s="10">
        <v>0.26853055555555549</v>
      </c>
      <c r="T20" s="10"/>
    </row>
    <row r="21" spans="1:20" x14ac:dyDescent="0.25">
      <c r="A21" s="14">
        <v>26</v>
      </c>
      <c r="B21" s="10">
        <v>0.41360493827160494</v>
      </c>
    </row>
    <row r="22" spans="1:20" x14ac:dyDescent="0.25">
      <c r="A22" s="14">
        <v>27</v>
      </c>
      <c r="B22" s="10">
        <v>0.37371851851851856</v>
      </c>
    </row>
    <row r="23" spans="1:20" x14ac:dyDescent="0.25">
      <c r="A23" s="14">
        <v>28</v>
      </c>
      <c r="B23" s="10">
        <v>0.53393333333333337</v>
      </c>
    </row>
    <row r="24" spans="1:20" x14ac:dyDescent="0.25">
      <c r="A24" s="14">
        <v>29</v>
      </c>
      <c r="B24" s="10">
        <v>0.20759259259259261</v>
      </c>
    </row>
    <row r="25" spans="1:20" x14ac:dyDescent="0.25">
      <c r="A25" s="14">
        <v>30</v>
      </c>
      <c r="B25" s="10">
        <v>0.55714814814814817</v>
      </c>
    </row>
    <row r="26" spans="1:20" x14ac:dyDescent="0.25">
      <c r="A26" s="14"/>
      <c r="B26" s="10" t="e">
        <v>#DIV/0!</v>
      </c>
    </row>
    <row r="27" spans="1:20" x14ac:dyDescent="0.25">
      <c r="A27" s="14" t="s">
        <v>109</v>
      </c>
      <c r="B27" s="10">
        <v>0.36944770529038423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A2DA2-4136-4B28-9487-C59721522D89}">
  <sheetPr>
    <tabColor rgb="FFFFFF00"/>
  </sheetPr>
  <dimension ref="A3:L34"/>
  <sheetViews>
    <sheetView showGridLines="0" tabSelected="1" zoomScale="85" workbookViewId="0">
      <selection activeCell="L32" sqref="L32"/>
    </sheetView>
  </sheetViews>
  <sheetFormatPr defaultColWidth="11.42578125" defaultRowHeight="15" x14ac:dyDescent="0.25"/>
  <cols>
    <col min="1" max="1" width="13.42578125" bestFit="1" customWidth="1"/>
    <col min="2" max="2" width="24.140625" bestFit="1" customWidth="1"/>
    <col min="3" max="3" width="10.42578125" bestFit="1" customWidth="1"/>
    <col min="4" max="4" width="9.7109375" bestFit="1" customWidth="1"/>
    <col min="5" max="5" width="3" bestFit="1" customWidth="1"/>
    <col min="6" max="6" width="3.85546875" bestFit="1" customWidth="1"/>
    <col min="7" max="7" width="10.28515625" bestFit="1" customWidth="1"/>
    <col min="8" max="8" width="11.42578125" bestFit="1" customWidth="1"/>
  </cols>
  <sheetData>
    <row r="3" spans="1:3" x14ac:dyDescent="0.25">
      <c r="A3" s="4" t="s">
        <v>155</v>
      </c>
      <c r="B3" t="s">
        <v>120</v>
      </c>
      <c r="C3" t="s">
        <v>121</v>
      </c>
    </row>
    <row r="4" spans="1:3" x14ac:dyDescent="0.25">
      <c r="A4" s="11" t="s">
        <v>134</v>
      </c>
      <c r="B4" s="3">
        <v>3.2916666666666665</v>
      </c>
      <c r="C4" s="24">
        <v>0.6470588235294118</v>
      </c>
    </row>
    <row r="5" spans="1:3" x14ac:dyDescent="0.25">
      <c r="A5" s="11" t="s">
        <v>122</v>
      </c>
      <c r="B5" s="3">
        <v>2.25</v>
      </c>
      <c r="C5" s="24">
        <v>0.29411764705882354</v>
      </c>
    </row>
    <row r="6" spans="1:3" x14ac:dyDescent="0.25">
      <c r="A6" s="11" t="s">
        <v>123</v>
      </c>
      <c r="B6" s="3">
        <v>0.10416666666666667</v>
      </c>
      <c r="C6" s="24">
        <v>5.8823529411764705E-2</v>
      </c>
    </row>
    <row r="7" spans="1:3" x14ac:dyDescent="0.25">
      <c r="A7" s="11" t="s">
        <v>156</v>
      </c>
      <c r="B7" s="3">
        <v>5.6458333333333339</v>
      </c>
      <c r="C7" s="24">
        <v>1</v>
      </c>
    </row>
    <row r="29" spans="1:12" x14ac:dyDescent="0.25">
      <c r="A29" t="s">
        <v>155</v>
      </c>
      <c r="B29" t="s">
        <v>120</v>
      </c>
      <c r="C29" t="s">
        <v>121</v>
      </c>
    </row>
    <row r="30" spans="1:12" x14ac:dyDescent="0.25">
      <c r="A30" t="s">
        <v>134</v>
      </c>
      <c r="B30">
        <f>B34*C30</f>
        <v>2.3289062500000002</v>
      </c>
      <c r="C30" s="40">
        <v>0.41249999999999998</v>
      </c>
      <c r="L30">
        <f>0.272/(0.66*0.9989)</f>
        <v>0.4125750446703495</v>
      </c>
    </row>
    <row r="31" spans="1:12" x14ac:dyDescent="0.25">
      <c r="A31" t="s">
        <v>122</v>
      </c>
      <c r="B31">
        <f>B34*C31</f>
        <v>2.3455116421568669</v>
      </c>
      <c r="C31" s="40">
        <f>0.294117647058824*(1+C30)</f>
        <v>0.41544117647058892</v>
      </c>
    </row>
    <row r="32" spans="1:12" x14ac:dyDescent="0.25">
      <c r="A32" t="s">
        <v>123</v>
      </c>
      <c r="B32">
        <f>B34*C32</f>
        <v>0.46910232843137256</v>
      </c>
      <c r="C32" s="40">
        <f>0.0588235294117647*(1+C30)</f>
        <v>8.3088235294117643E-2</v>
      </c>
      <c r="L32">
        <f>0.413*0.662*0.9989</f>
        <v>0.27310525339999997</v>
      </c>
    </row>
    <row r="33" spans="1:3" x14ac:dyDescent="0.25">
      <c r="A33" t="s">
        <v>284</v>
      </c>
      <c r="B33">
        <f>B34-SUM(B30:B32)</f>
        <v>0.50231311274509416</v>
      </c>
      <c r="C33" s="40">
        <f>B33/B34</f>
        <v>8.8970588235293427E-2</v>
      </c>
    </row>
    <row r="34" spans="1:3" x14ac:dyDescent="0.25">
      <c r="A34" t="s">
        <v>156</v>
      </c>
      <c r="B34">
        <v>5.6458333333333339</v>
      </c>
      <c r="C34" s="40">
        <f>SUM(C30:C33)</f>
        <v>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08D0A-1AAD-451C-88F4-6FDA3AC4E282}">
  <dimension ref="A3:C20"/>
  <sheetViews>
    <sheetView workbookViewId="0">
      <selection activeCell="A3" sqref="A3"/>
    </sheetView>
  </sheetViews>
  <sheetFormatPr defaultRowHeight="15" x14ac:dyDescent="0.25"/>
  <sheetData>
    <row r="3" spans="1:3" x14ac:dyDescent="0.25">
      <c r="A3" s="29"/>
      <c r="B3" s="30"/>
      <c r="C3" s="31"/>
    </row>
    <row r="4" spans="1:3" x14ac:dyDescent="0.25">
      <c r="A4" s="32"/>
      <c r="B4" s="33"/>
      <c r="C4" s="34"/>
    </row>
    <row r="5" spans="1:3" x14ac:dyDescent="0.25">
      <c r="A5" s="32"/>
      <c r="B5" s="33"/>
      <c r="C5" s="34"/>
    </row>
    <row r="6" spans="1:3" x14ac:dyDescent="0.25">
      <c r="A6" s="32"/>
      <c r="B6" s="33"/>
      <c r="C6" s="34"/>
    </row>
    <row r="7" spans="1:3" x14ac:dyDescent="0.25">
      <c r="A7" s="32"/>
      <c r="B7" s="33"/>
      <c r="C7" s="34"/>
    </row>
    <row r="8" spans="1:3" x14ac:dyDescent="0.25">
      <c r="A8" s="32"/>
      <c r="B8" s="33"/>
      <c r="C8" s="34"/>
    </row>
    <row r="9" spans="1:3" x14ac:dyDescent="0.25">
      <c r="A9" s="32"/>
      <c r="B9" s="33"/>
      <c r="C9" s="34"/>
    </row>
    <row r="10" spans="1:3" x14ac:dyDescent="0.25">
      <c r="A10" s="32"/>
      <c r="B10" s="33"/>
      <c r="C10" s="34"/>
    </row>
    <row r="11" spans="1:3" x14ac:dyDescent="0.25">
      <c r="A11" s="32"/>
      <c r="B11" s="33"/>
      <c r="C11" s="34"/>
    </row>
    <row r="12" spans="1:3" x14ac:dyDescent="0.25">
      <c r="A12" s="32"/>
      <c r="B12" s="33"/>
      <c r="C12" s="34"/>
    </row>
    <row r="13" spans="1:3" x14ac:dyDescent="0.25">
      <c r="A13" s="32"/>
      <c r="B13" s="33"/>
      <c r="C13" s="34"/>
    </row>
    <row r="14" spans="1:3" x14ac:dyDescent="0.25">
      <c r="A14" s="32"/>
      <c r="B14" s="33"/>
      <c r="C14" s="34"/>
    </row>
    <row r="15" spans="1:3" x14ac:dyDescent="0.25">
      <c r="A15" s="32"/>
      <c r="B15" s="33"/>
      <c r="C15" s="34"/>
    </row>
    <row r="16" spans="1:3" x14ac:dyDescent="0.25">
      <c r="A16" s="32"/>
      <c r="B16" s="33"/>
      <c r="C16" s="34"/>
    </row>
    <row r="17" spans="1:3" x14ac:dyDescent="0.25">
      <c r="A17" s="32"/>
      <c r="B17" s="33"/>
      <c r="C17" s="34"/>
    </row>
    <row r="18" spans="1:3" x14ac:dyDescent="0.25">
      <c r="A18" s="32"/>
      <c r="B18" s="33"/>
      <c r="C18" s="34"/>
    </row>
    <row r="19" spans="1:3" x14ac:dyDescent="0.25">
      <c r="A19" s="32"/>
      <c r="B19" s="33"/>
      <c r="C19" s="34"/>
    </row>
    <row r="20" spans="1:3" x14ac:dyDescent="0.25">
      <c r="A20" s="35"/>
      <c r="B20" s="36"/>
      <c r="C20" s="3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B3474-B621-43B3-96E9-881A1AA7128F}">
  <sheetPr>
    <tabColor rgb="FF00B050"/>
  </sheetPr>
  <dimension ref="A1:P266"/>
  <sheetViews>
    <sheetView workbookViewId="0">
      <selection activeCell="E71" sqref="E71"/>
    </sheetView>
  </sheetViews>
  <sheetFormatPr defaultColWidth="11.42578125" defaultRowHeight="15" x14ac:dyDescent="0.25"/>
  <cols>
    <col min="1" max="1" width="11.140625" bestFit="1" customWidth="1"/>
    <col min="2" max="2" width="14.42578125" bestFit="1" customWidth="1"/>
    <col min="3" max="3" width="12.28515625" bestFit="1" customWidth="1"/>
    <col min="4" max="4" width="14" customWidth="1"/>
    <col min="5" max="5" width="15.28515625" bestFit="1" customWidth="1"/>
    <col min="6" max="7" width="21.5703125" style="15" hidden="1" customWidth="1"/>
    <col min="8" max="8" width="12.140625" style="16" hidden="1" customWidth="1"/>
    <col min="9" max="9" width="22.140625" style="8" bestFit="1" customWidth="1"/>
    <col min="10" max="10" width="19.28515625" style="16" bestFit="1" customWidth="1"/>
    <col min="11" max="11" width="19.28515625" style="16" customWidth="1"/>
    <col min="12" max="12" width="36.5703125" bestFit="1" customWidth="1"/>
  </cols>
  <sheetData>
    <row r="1" spans="1:16" x14ac:dyDescent="0.25">
      <c r="B1" s="3">
        <v>0.58333333333333337</v>
      </c>
      <c r="J1" s="16">
        <v>1800</v>
      </c>
    </row>
    <row r="2" spans="1:16" x14ac:dyDescent="0.25">
      <c r="A2" s="1" t="s">
        <v>3</v>
      </c>
      <c r="B2" s="1" t="s">
        <v>125</v>
      </c>
      <c r="C2" s="1" t="s">
        <v>126</v>
      </c>
      <c r="D2" s="1" t="s">
        <v>127</v>
      </c>
      <c r="E2" s="1" t="s">
        <v>128</v>
      </c>
      <c r="F2" s="17" t="s">
        <v>129</v>
      </c>
      <c r="G2" s="17" t="s">
        <v>130</v>
      </c>
      <c r="H2" s="18" t="s">
        <v>0</v>
      </c>
      <c r="I2" s="7" t="s">
        <v>111</v>
      </c>
      <c r="J2" s="18" t="s">
        <v>112</v>
      </c>
      <c r="K2" s="18" t="s">
        <v>113</v>
      </c>
      <c r="L2" s="1" t="s">
        <v>131</v>
      </c>
      <c r="M2" s="1" t="s">
        <v>132</v>
      </c>
      <c r="N2" s="1" t="s">
        <v>133</v>
      </c>
    </row>
    <row r="3" spans="1:16" x14ac:dyDescent="0.25">
      <c r="A3" s="20">
        <v>45692</v>
      </c>
      <c r="B3" s="3">
        <v>0.79166666666666663</v>
      </c>
      <c r="C3" s="3">
        <v>0.88194444444444442</v>
      </c>
      <c r="D3" s="19" t="str">
        <f>+IF(Tabla1[[#This Row],[Hora inicio]]&lt;$B$1,"Mañana","Tarde")</f>
        <v>Tarde</v>
      </c>
      <c r="E3" t="s">
        <v>134</v>
      </c>
      <c r="F3" s="19">
        <f>IF(Tabla1[[#This Row],[P/LC/CF/CL]]="P",Tabla1[[#This Row],[Hora fin ]]-Tabla1[[#This Row],[Hora inicio]],"")</f>
        <v>9.027777777777779E-2</v>
      </c>
      <c r="G3" s="19">
        <f>Tabla1[[#This Row],[Hora fin ]]-Tabla1[[#This Row],[Hora inicio]]</f>
        <v>9.027777777777779E-2</v>
      </c>
      <c r="H3" s="16">
        <f>WEEKNUM(Tabla1[[#This Row],[Día]])</f>
        <v>6</v>
      </c>
      <c r="I3">
        <v>2754</v>
      </c>
      <c r="J3" s="16">
        <f>IFERROR(((HOUR(Tabla1[[#This Row],[Tiempo producción]])*60+MINUTE(Tabla1[[#This Row],[Tiempo producción]]))/60)*$J$1,"")</f>
        <v>3899.9999999999995</v>
      </c>
      <c r="K3" s="21">
        <f>IFERROR(Tabla1[[#This Row],[Cantidad producida]]/Tabla1[[#This Row],[Cantidad teórica]],"")</f>
        <v>0.70615384615384624</v>
      </c>
      <c r="L3" s="3"/>
      <c r="M3" s="23" t="str">
        <f>IF(Tabla1[[#This Row],[P/LC/CF/CL]]&lt;&gt;"P",Tabla1[[#This Row],[Hora fin ]]-Tabla1[[#This Row],[Hora inicio]],"")</f>
        <v/>
      </c>
      <c r="N3" t="str">
        <f>IF(Tabla1[[#This Row],[Cantidad producida]]&gt;Tabla1[[#This Row],[Cantidad teórica]],"SI","")</f>
        <v/>
      </c>
      <c r="P3" s="39">
        <f>AVERAGEIF(Tabla1[Rendimiento],"&lt;&gt;0",Tabla1[Rendimiento])</f>
        <v>0.66224173365377825</v>
      </c>
    </row>
    <row r="4" spans="1:16" x14ac:dyDescent="0.25">
      <c r="A4" s="20">
        <v>45693</v>
      </c>
      <c r="B4" s="3">
        <v>0.3298611111111111</v>
      </c>
      <c r="C4" s="3">
        <v>0.55555555555555558</v>
      </c>
      <c r="D4" s="19" t="str">
        <f>+IF(Tabla1[[#This Row],[Hora inicio]]&lt;$B$1,"Mañana","Tarde")</f>
        <v>Mañana</v>
      </c>
      <c r="E4" t="s">
        <v>134</v>
      </c>
      <c r="F4" s="19">
        <f>IF(Tabla1[[#This Row],[P/LC/CF/CL]]="P",Tabla1[[#This Row],[Hora fin ]]-Tabla1[[#This Row],[Hora inicio]],"")</f>
        <v>0.22569444444444448</v>
      </c>
      <c r="G4" s="19">
        <f>Tabla1[[#This Row],[Hora fin ]]-Tabla1[[#This Row],[Hora inicio]]</f>
        <v>0.22569444444444448</v>
      </c>
      <c r="H4" s="16">
        <f>WEEKNUM(Tabla1[[#This Row],[Día]])</f>
        <v>6</v>
      </c>
      <c r="I4">
        <v>4446</v>
      </c>
      <c r="J4" s="16">
        <f>IFERROR(((HOUR(Tabla1[[#This Row],[Tiempo producción]])*60+MINUTE(Tabla1[[#This Row],[Tiempo producción]]))/60)*$J$1,"")</f>
        <v>9750</v>
      </c>
      <c r="K4" s="21">
        <f>IFERROR(Tabla1[[#This Row],[Cantidad producida]]/Tabla1[[#This Row],[Cantidad teórica]],"")</f>
        <v>0.45600000000000002</v>
      </c>
      <c r="L4" s="3"/>
      <c r="M4" s="23" t="str">
        <f>IF(Tabla1[[#This Row],[P/LC/CF/CL]]&lt;&gt;"P",Tabla1[[#This Row],[Hora fin ]]-Tabla1[[#This Row],[Hora inicio]],"")</f>
        <v/>
      </c>
      <c r="N4" t="str">
        <f>IF(Tabla1[[#This Row],[Cantidad producida]]&gt;Tabla1[[#This Row],[Cantidad teórica]],"SI","")</f>
        <v/>
      </c>
    </row>
    <row r="5" spans="1:16" x14ac:dyDescent="0.25">
      <c r="A5" s="20">
        <v>45693</v>
      </c>
      <c r="B5" s="3">
        <v>0.60416666666666663</v>
      </c>
      <c r="C5" s="3">
        <v>0.85416666666666663</v>
      </c>
      <c r="D5" s="19" t="str">
        <f>+IF(Tabla1[[#This Row],[Hora inicio]]&lt;$B$1,"Mañana","Tarde")</f>
        <v>Tarde</v>
      </c>
      <c r="E5" t="s">
        <v>134</v>
      </c>
      <c r="F5" s="19">
        <f>IF(Tabla1[[#This Row],[P/LC/CF/CL]]="P",Tabla1[[#This Row],[Hora fin ]]-Tabla1[[#This Row],[Hora inicio]],"")</f>
        <v>0.25</v>
      </c>
      <c r="G5" s="19">
        <f>Tabla1[[#This Row],[Hora fin ]]-Tabla1[[#This Row],[Hora inicio]]</f>
        <v>0.25</v>
      </c>
      <c r="H5" s="16">
        <f>WEEKNUM(Tabla1[[#This Row],[Día]])</f>
        <v>6</v>
      </c>
      <c r="I5">
        <v>8694</v>
      </c>
      <c r="J5" s="16">
        <f>IFERROR(((HOUR(Tabla1[[#This Row],[Tiempo producción]])*60+MINUTE(Tabla1[[#This Row],[Tiempo producción]]))/60)*$J$1,"")</f>
        <v>10800</v>
      </c>
      <c r="K5" s="21">
        <f>IFERROR(Tabla1[[#This Row],[Cantidad producida]]/Tabla1[[#This Row],[Cantidad teórica]],"")</f>
        <v>0.80500000000000005</v>
      </c>
      <c r="L5" s="3"/>
      <c r="M5" s="23" t="str">
        <f>IF(Tabla1[[#This Row],[P/LC/CF/CL]]&lt;&gt;"P",Tabla1[[#This Row],[Hora fin ]]-Tabla1[[#This Row],[Hora inicio]],"")</f>
        <v/>
      </c>
      <c r="N5" t="str">
        <f>IF(Tabla1[[#This Row],[Cantidad producida]]&gt;Tabla1[[#This Row],[Cantidad teórica]],"SI","")</f>
        <v/>
      </c>
    </row>
    <row r="6" spans="1:16" x14ac:dyDescent="0.25">
      <c r="A6" s="20">
        <v>45694</v>
      </c>
      <c r="B6" s="3">
        <v>0.48958333333333331</v>
      </c>
      <c r="C6" s="3">
        <v>0.55208333333333337</v>
      </c>
      <c r="D6" s="19" t="str">
        <f>+IF(Tabla1[[#This Row],[Hora inicio]]&lt;$B$1,"Mañana","Tarde")</f>
        <v>Mañana</v>
      </c>
      <c r="E6" t="s">
        <v>134</v>
      </c>
      <c r="F6" s="19">
        <f>IF(Tabla1[[#This Row],[P/LC/CF/CL]]="P",Tabla1[[#This Row],[Hora fin ]]-Tabla1[[#This Row],[Hora inicio]],"")</f>
        <v>6.2500000000000056E-2</v>
      </c>
      <c r="G6" s="19">
        <f>Tabla1[[#This Row],[Hora fin ]]-Tabla1[[#This Row],[Hora inicio]]</f>
        <v>6.2500000000000056E-2</v>
      </c>
      <c r="H6" s="16">
        <f>WEEKNUM(Tabla1[[#This Row],[Día]])</f>
        <v>6</v>
      </c>
      <c r="I6">
        <v>1380</v>
      </c>
      <c r="J6" s="16">
        <f>IFERROR(((HOUR(Tabla1[[#This Row],[Tiempo producción]])*60+MINUTE(Tabla1[[#This Row],[Tiempo producción]]))/60)*$J$1,"")</f>
        <v>2700</v>
      </c>
      <c r="K6" s="21">
        <f>IFERROR(Tabla1[[#This Row],[Cantidad producida]]/Tabla1[[#This Row],[Cantidad teórica]],"")</f>
        <v>0.51111111111111107</v>
      </c>
      <c r="L6" s="3"/>
      <c r="M6" s="23" t="str">
        <f>IF(Tabla1[[#This Row],[P/LC/CF/CL]]&lt;&gt;"P",Tabla1[[#This Row],[Hora fin ]]-Tabla1[[#This Row],[Hora inicio]],"")</f>
        <v/>
      </c>
      <c r="N6" t="str">
        <f>IF(Tabla1[[#This Row],[Cantidad producida]]&gt;Tabla1[[#This Row],[Cantidad teórica]],"SI","")</f>
        <v/>
      </c>
    </row>
    <row r="7" spans="1:16" x14ac:dyDescent="0.25">
      <c r="A7" s="20">
        <v>45694</v>
      </c>
      <c r="B7" s="3">
        <v>0.59375</v>
      </c>
      <c r="C7" s="3">
        <v>0.875</v>
      </c>
      <c r="D7" s="19" t="str">
        <f>+IF(Tabla1[[#This Row],[Hora inicio]]&lt;$B$1,"Mañana","Tarde")</f>
        <v>Tarde</v>
      </c>
      <c r="E7" t="s">
        <v>134</v>
      </c>
      <c r="F7" s="19">
        <f>IF(Tabla1[[#This Row],[P/LC/CF/CL]]="P",Tabla1[[#This Row],[Hora fin ]]-Tabla1[[#This Row],[Hora inicio]],"")</f>
        <v>0.28125</v>
      </c>
      <c r="G7" s="19">
        <f>Tabla1[[#This Row],[Hora fin ]]-Tabla1[[#This Row],[Hora inicio]]</f>
        <v>0.28125</v>
      </c>
      <c r="H7" s="16">
        <f>WEEKNUM(Tabla1[[#This Row],[Día]])</f>
        <v>6</v>
      </c>
      <c r="I7">
        <v>9558</v>
      </c>
      <c r="J7" s="16">
        <f>IFERROR(((HOUR(Tabla1[[#This Row],[Tiempo producción]])*60+MINUTE(Tabla1[[#This Row],[Tiempo producción]]))/60)*$J$1,"")</f>
        <v>12150</v>
      </c>
      <c r="K7" s="21">
        <f>IFERROR(Tabla1[[#This Row],[Cantidad producida]]/Tabla1[[#This Row],[Cantidad teórica]],"")</f>
        <v>0.78666666666666663</v>
      </c>
      <c r="L7" s="3"/>
      <c r="M7" s="23" t="str">
        <f>IF(Tabla1[[#This Row],[P/LC/CF/CL]]&lt;&gt;"P",Tabla1[[#This Row],[Hora fin ]]-Tabla1[[#This Row],[Hora inicio]],"")</f>
        <v/>
      </c>
      <c r="N7" t="str">
        <f>IF(Tabla1[[#This Row],[Cantidad producida]]&gt;Tabla1[[#This Row],[Cantidad teórica]],"SI","")</f>
        <v/>
      </c>
    </row>
    <row r="8" spans="1:16" x14ac:dyDescent="0.25">
      <c r="A8" s="20">
        <v>45695</v>
      </c>
      <c r="B8" s="3">
        <v>0.25</v>
      </c>
      <c r="C8" s="3">
        <v>0.5</v>
      </c>
      <c r="D8" s="19" t="str">
        <f>+IF(Tabla1[[#This Row],[Hora inicio]]&lt;$B$1,"Mañana","Tarde")</f>
        <v>Mañana</v>
      </c>
      <c r="E8" t="s">
        <v>134</v>
      </c>
      <c r="F8" s="19">
        <f>IF(Tabla1[[#This Row],[P/LC/CF/CL]]="P",Tabla1[[#This Row],[Hora fin ]]-Tabla1[[#This Row],[Hora inicio]],"")</f>
        <v>0.25</v>
      </c>
      <c r="G8" s="19">
        <f>Tabla1[[#This Row],[Hora fin ]]-Tabla1[[#This Row],[Hora inicio]]</f>
        <v>0.25</v>
      </c>
      <c r="H8" s="16">
        <f>WEEKNUM(Tabla1[[#This Row],[Día]])</f>
        <v>6</v>
      </c>
      <c r="I8">
        <v>6144</v>
      </c>
      <c r="J8" s="16">
        <f>IFERROR(((HOUR(Tabla1[[#This Row],[Tiempo producción]])*60+MINUTE(Tabla1[[#This Row],[Tiempo producción]]))/60)*$J$1,"")</f>
        <v>10800</v>
      </c>
      <c r="K8" s="21">
        <f>IFERROR(Tabla1[[#This Row],[Cantidad producida]]/Tabla1[[#This Row],[Cantidad teórica]],"")</f>
        <v>0.56888888888888889</v>
      </c>
      <c r="L8" s="3"/>
      <c r="M8" s="23" t="str">
        <f>IF(Tabla1[[#This Row],[P/LC/CF/CL]]&lt;&gt;"P",Tabla1[[#This Row],[Hora fin ]]-Tabla1[[#This Row],[Hora inicio]],"")</f>
        <v/>
      </c>
      <c r="N8" t="str">
        <f>IF(Tabla1[[#This Row],[Cantidad producida]]&gt;Tabla1[[#This Row],[Cantidad teórica]],"SI","")</f>
        <v/>
      </c>
    </row>
    <row r="9" spans="1:16" x14ac:dyDescent="0.25">
      <c r="A9" s="20">
        <v>45695</v>
      </c>
      <c r="B9" s="3">
        <v>0.6875</v>
      </c>
      <c r="C9" s="3">
        <v>0.78472222222222221</v>
      </c>
      <c r="D9" s="19" t="str">
        <f>+IF(Tabla1[[#This Row],[Hora inicio]]&lt;$B$1,"Mañana","Tarde")</f>
        <v>Tarde</v>
      </c>
      <c r="E9" t="s">
        <v>134</v>
      </c>
      <c r="F9" s="19">
        <f>IF(Tabla1[[#This Row],[P/LC/CF/CL]]="P",Tabla1[[#This Row],[Hora fin ]]-Tabla1[[#This Row],[Hora inicio]],"")</f>
        <v>9.722222222222221E-2</v>
      </c>
      <c r="G9" s="19">
        <f>Tabla1[[#This Row],[Hora fin ]]-Tabla1[[#This Row],[Hora inicio]]</f>
        <v>9.722222222222221E-2</v>
      </c>
      <c r="H9" s="16">
        <f>WEEKNUM(Tabla1[[#This Row],[Día]])</f>
        <v>6</v>
      </c>
      <c r="I9">
        <v>2448</v>
      </c>
      <c r="J9" s="16">
        <f>IFERROR(((HOUR(Tabla1[[#This Row],[Tiempo producción]])*60+MINUTE(Tabla1[[#This Row],[Tiempo producción]]))/60)*$J$1,"")</f>
        <v>4200</v>
      </c>
      <c r="K9" s="21">
        <f>IFERROR(Tabla1[[#This Row],[Cantidad producida]]/Tabla1[[#This Row],[Cantidad teórica]],"")</f>
        <v>0.58285714285714285</v>
      </c>
      <c r="L9" s="3"/>
      <c r="M9" s="23" t="str">
        <f>IF(Tabla1[[#This Row],[P/LC/CF/CL]]&lt;&gt;"P",Tabla1[[#This Row],[Hora fin ]]-Tabla1[[#This Row],[Hora inicio]],"")</f>
        <v/>
      </c>
      <c r="N9" t="str">
        <f>IF(Tabla1[[#This Row],[Cantidad producida]]&gt;Tabla1[[#This Row],[Cantidad teórica]],"SI","")</f>
        <v/>
      </c>
    </row>
    <row r="10" spans="1:16" x14ac:dyDescent="0.25">
      <c r="A10" s="20">
        <v>45698</v>
      </c>
      <c r="B10" s="3">
        <v>0.86111111111111116</v>
      </c>
      <c r="C10" s="3">
        <v>0.91666666666666663</v>
      </c>
      <c r="D10" s="19" t="str">
        <f>+IF(Tabla1[[#This Row],[Hora inicio]]&lt;$B$1,"Mañana","Tarde")</f>
        <v>Tarde</v>
      </c>
      <c r="E10" t="s">
        <v>134</v>
      </c>
      <c r="F10" s="19">
        <f>IF(Tabla1[[#This Row],[P/LC/CF/CL]]="P",Tabla1[[#This Row],[Hora fin ]]-Tabla1[[#This Row],[Hora inicio]],"")</f>
        <v>5.5555555555555469E-2</v>
      </c>
      <c r="G10" s="19">
        <f>Tabla1[[#This Row],[Hora fin ]]-Tabla1[[#This Row],[Hora inicio]]</f>
        <v>5.5555555555555469E-2</v>
      </c>
      <c r="H10" s="16">
        <f>WEEKNUM(Tabla1[[#This Row],[Día]])</f>
        <v>7</v>
      </c>
      <c r="I10">
        <v>384</v>
      </c>
      <c r="J10" s="16">
        <f>IFERROR(((HOUR(Tabla1[[#This Row],[Tiempo producción]])*60+MINUTE(Tabla1[[#This Row],[Tiempo producción]]))/60)*$J$1,"")</f>
        <v>2400</v>
      </c>
      <c r="K10" s="21">
        <f>IFERROR(Tabla1[[#This Row],[Cantidad producida]]/Tabla1[[#This Row],[Cantidad teórica]],"")</f>
        <v>0.16</v>
      </c>
      <c r="L10" s="3"/>
      <c r="M10" s="23" t="str">
        <f>IF(Tabla1[[#This Row],[P/LC/CF/CL]]&lt;&gt;"P",Tabla1[[#This Row],[Hora fin ]]-Tabla1[[#This Row],[Hora inicio]],"")</f>
        <v/>
      </c>
      <c r="N10" t="str">
        <f>IF(Tabla1[[#This Row],[Cantidad producida]]&gt;Tabla1[[#This Row],[Cantidad teórica]],"SI","")</f>
        <v/>
      </c>
    </row>
    <row r="11" spans="1:16" x14ac:dyDescent="0.25">
      <c r="A11" s="20">
        <v>45699</v>
      </c>
      <c r="B11" s="3">
        <v>0.30208333333333331</v>
      </c>
      <c r="C11" s="3">
        <v>0.58333333333333337</v>
      </c>
      <c r="D11" s="19" t="str">
        <f>+IF(Tabla1[[#This Row],[Hora inicio]]&lt;$B$1,"Mañana","Tarde")</f>
        <v>Mañana</v>
      </c>
      <c r="E11" t="s">
        <v>134</v>
      </c>
      <c r="F11" s="19">
        <f>IF(Tabla1[[#This Row],[P/LC/CF/CL]]="P",Tabla1[[#This Row],[Hora fin ]]-Tabla1[[#This Row],[Hora inicio]],"")</f>
        <v>0.28125000000000006</v>
      </c>
      <c r="G11" s="19">
        <f>Tabla1[[#This Row],[Hora fin ]]-Tabla1[[#This Row],[Hora inicio]]</f>
        <v>0.28125000000000006</v>
      </c>
      <c r="H11" s="16">
        <f>WEEKNUM(Tabla1[[#This Row],[Día]])</f>
        <v>7</v>
      </c>
      <c r="I11">
        <v>5820</v>
      </c>
      <c r="J11" s="16">
        <f>IFERROR(((HOUR(Tabla1[[#This Row],[Tiempo producción]])*60+MINUTE(Tabla1[[#This Row],[Tiempo producción]]))/60)*$J$1,"")</f>
        <v>12150</v>
      </c>
      <c r="K11" s="21">
        <f>IFERROR(Tabla1[[#This Row],[Cantidad producida]]/Tabla1[[#This Row],[Cantidad teórica]],"")</f>
        <v>0.47901234567901235</v>
      </c>
      <c r="L11" s="3"/>
      <c r="M11" s="23" t="str">
        <f>IF(Tabla1[[#This Row],[P/LC/CF/CL]]&lt;&gt;"P",Tabla1[[#This Row],[Hora fin ]]-Tabla1[[#This Row],[Hora inicio]],"")</f>
        <v/>
      </c>
      <c r="N11" t="str">
        <f>IF(Tabla1[[#This Row],[Cantidad producida]]&gt;Tabla1[[#This Row],[Cantidad teórica]],"SI","")</f>
        <v/>
      </c>
    </row>
    <row r="12" spans="1:16" x14ac:dyDescent="0.25">
      <c r="A12" s="20">
        <v>45700</v>
      </c>
      <c r="B12" s="3">
        <v>0.25694444444444442</v>
      </c>
      <c r="C12" s="3">
        <v>0.57986111111111116</v>
      </c>
      <c r="D12" s="19" t="str">
        <f>+IF(Tabla1[[#This Row],[Hora inicio]]&lt;$B$1,"Mañana","Tarde")</f>
        <v>Mañana</v>
      </c>
      <c r="E12" t="s">
        <v>134</v>
      </c>
      <c r="F12" s="19">
        <f>IF(Tabla1[[#This Row],[P/LC/CF/CL]]="P",Tabla1[[#This Row],[Hora fin ]]-Tabla1[[#This Row],[Hora inicio]],"")</f>
        <v>0.32291666666666674</v>
      </c>
      <c r="G12" s="19">
        <f>Tabla1[[#This Row],[Hora fin ]]-Tabla1[[#This Row],[Hora inicio]]</f>
        <v>0.32291666666666674</v>
      </c>
      <c r="H12" s="16">
        <f>WEEKNUM(Tabla1[[#This Row],[Día]])</f>
        <v>7</v>
      </c>
      <c r="I12">
        <v>6840</v>
      </c>
      <c r="J12" s="16">
        <f>IFERROR(((HOUR(Tabla1[[#This Row],[Tiempo producción]])*60+MINUTE(Tabla1[[#This Row],[Tiempo producción]]))/60)*$J$1,"")</f>
        <v>13950</v>
      </c>
      <c r="K12" s="21">
        <f>IFERROR(Tabla1[[#This Row],[Cantidad producida]]/Tabla1[[#This Row],[Cantidad teórica]],"")</f>
        <v>0.49032258064516127</v>
      </c>
      <c r="L12" s="3"/>
      <c r="M12" s="23" t="str">
        <f>IF(Tabla1[[#This Row],[P/LC/CF/CL]]&lt;&gt;"P",Tabla1[[#This Row],[Hora fin ]]-Tabla1[[#This Row],[Hora inicio]],"")</f>
        <v/>
      </c>
      <c r="N12" t="str">
        <f>IF(Tabla1[[#This Row],[Cantidad producida]]&gt;Tabla1[[#This Row],[Cantidad teórica]],"SI","")</f>
        <v/>
      </c>
    </row>
    <row r="13" spans="1:16" x14ac:dyDescent="0.25">
      <c r="A13" s="20">
        <v>45700</v>
      </c>
      <c r="B13" s="3">
        <v>0.60069444444444442</v>
      </c>
      <c r="C13" s="3">
        <v>0.67708333333333337</v>
      </c>
      <c r="D13" s="19" t="str">
        <f>+IF(Tabla1[[#This Row],[Hora inicio]]&lt;$B$1,"Mañana","Tarde")</f>
        <v>Tarde</v>
      </c>
      <c r="E13" t="s">
        <v>134</v>
      </c>
      <c r="F13" s="19">
        <f>IF(Tabla1[[#This Row],[P/LC/CF/CL]]="P",Tabla1[[#This Row],[Hora fin ]]-Tabla1[[#This Row],[Hora inicio]],"")</f>
        <v>7.6388888888888951E-2</v>
      </c>
      <c r="G13" s="19">
        <f>Tabla1[[#This Row],[Hora fin ]]-Tabla1[[#This Row],[Hora inicio]]</f>
        <v>7.6388888888888951E-2</v>
      </c>
      <c r="H13" s="16">
        <f>WEEKNUM(Tabla1[[#This Row],[Día]])</f>
        <v>7</v>
      </c>
      <c r="I13">
        <v>2052</v>
      </c>
      <c r="J13" s="16">
        <f>IFERROR(((HOUR(Tabla1[[#This Row],[Tiempo producción]])*60+MINUTE(Tabla1[[#This Row],[Tiempo producción]]))/60)*$J$1,"")</f>
        <v>3300</v>
      </c>
      <c r="K13" s="21">
        <f>IFERROR(Tabla1[[#This Row],[Cantidad producida]]/Tabla1[[#This Row],[Cantidad teórica]],"")</f>
        <v>0.62181818181818183</v>
      </c>
      <c r="L13" s="3"/>
      <c r="M13" s="23" t="str">
        <f>IF(Tabla1[[#This Row],[P/LC/CF/CL]]&lt;&gt;"P",Tabla1[[#This Row],[Hora fin ]]-Tabla1[[#This Row],[Hora inicio]],"")</f>
        <v/>
      </c>
      <c r="N13" t="str">
        <f>IF(Tabla1[[#This Row],[Cantidad producida]]&gt;Tabla1[[#This Row],[Cantidad teórica]],"SI","")</f>
        <v/>
      </c>
    </row>
    <row r="14" spans="1:16" x14ac:dyDescent="0.25">
      <c r="A14" s="20">
        <v>45700</v>
      </c>
      <c r="B14" s="3">
        <v>0.69791666666666663</v>
      </c>
      <c r="C14" s="3">
        <v>0.91666666666666663</v>
      </c>
      <c r="D14" s="19" t="str">
        <f>+IF(Tabla1[[#This Row],[Hora inicio]]&lt;$B$1,"Mañana","Tarde")</f>
        <v>Tarde</v>
      </c>
      <c r="E14" t="s">
        <v>134</v>
      </c>
      <c r="F14" s="19">
        <f>IF(Tabla1[[#This Row],[P/LC/CF/CL]]="P",Tabla1[[#This Row],[Hora fin ]]-Tabla1[[#This Row],[Hora inicio]],"")</f>
        <v>0.21875</v>
      </c>
      <c r="G14" s="19">
        <f>Tabla1[[#This Row],[Hora fin ]]-Tabla1[[#This Row],[Hora inicio]]</f>
        <v>0.21875</v>
      </c>
      <c r="H14" s="16">
        <f>WEEKNUM(Tabla1[[#This Row],[Día]])</f>
        <v>7</v>
      </c>
      <c r="I14">
        <v>5820</v>
      </c>
      <c r="J14" s="16">
        <f>IFERROR(((HOUR(Tabla1[[#This Row],[Tiempo producción]])*60+MINUTE(Tabla1[[#This Row],[Tiempo producción]]))/60)*$J$1,"")</f>
        <v>9450</v>
      </c>
      <c r="K14" s="21">
        <f>IFERROR(Tabla1[[#This Row],[Cantidad producida]]/Tabla1[[#This Row],[Cantidad teórica]],"")</f>
        <v>0.61587301587301591</v>
      </c>
      <c r="L14" s="3"/>
      <c r="M14" s="23" t="str">
        <f>IF(Tabla1[[#This Row],[P/LC/CF/CL]]&lt;&gt;"P",Tabla1[[#This Row],[Hora fin ]]-Tabla1[[#This Row],[Hora inicio]],"")</f>
        <v/>
      </c>
      <c r="N14" t="str">
        <f>IF(Tabla1[[#This Row],[Cantidad producida]]&gt;Tabla1[[#This Row],[Cantidad teórica]],"SI","")</f>
        <v/>
      </c>
    </row>
    <row r="15" spans="1:16" x14ac:dyDescent="0.25">
      <c r="A15" s="20">
        <v>45701</v>
      </c>
      <c r="B15" s="3">
        <v>0.26041666666666669</v>
      </c>
      <c r="C15" s="3">
        <v>0.55208333333333337</v>
      </c>
      <c r="D15" s="19" t="str">
        <f>+IF(Tabla1[[#This Row],[Hora inicio]]&lt;$B$1,"Mañana","Tarde")</f>
        <v>Mañana</v>
      </c>
      <c r="E15" t="s">
        <v>134</v>
      </c>
      <c r="F15" s="19">
        <f>IF(Tabla1[[#This Row],[P/LC/CF/CL]]="P",Tabla1[[#This Row],[Hora fin ]]-Tabla1[[#This Row],[Hora inicio]],"")</f>
        <v>0.29166666666666669</v>
      </c>
      <c r="G15" s="19">
        <f>Tabla1[[#This Row],[Hora fin ]]-Tabla1[[#This Row],[Hora inicio]]</f>
        <v>0.29166666666666669</v>
      </c>
      <c r="H15" s="16">
        <f>WEEKNUM(Tabla1[[#This Row],[Día]])</f>
        <v>7</v>
      </c>
      <c r="I15">
        <v>9756</v>
      </c>
      <c r="J15" s="16">
        <f>IFERROR(((HOUR(Tabla1[[#This Row],[Tiempo producción]])*60+MINUTE(Tabla1[[#This Row],[Tiempo producción]]))/60)*$J$1,"")</f>
        <v>12600</v>
      </c>
      <c r="K15" s="21">
        <f>IFERROR(Tabla1[[#This Row],[Cantidad producida]]/Tabla1[[#This Row],[Cantidad teórica]],"")</f>
        <v>0.77428571428571424</v>
      </c>
      <c r="L15" s="3"/>
      <c r="M15" s="23" t="str">
        <f>IF(Tabla1[[#This Row],[P/LC/CF/CL]]&lt;&gt;"P",Tabla1[[#This Row],[Hora fin ]]-Tabla1[[#This Row],[Hora inicio]],"")</f>
        <v/>
      </c>
      <c r="N15" t="str">
        <f>IF(Tabla1[[#This Row],[Cantidad producida]]&gt;Tabla1[[#This Row],[Cantidad teórica]],"SI","")</f>
        <v/>
      </c>
    </row>
    <row r="16" spans="1:16" x14ac:dyDescent="0.25">
      <c r="A16" s="20">
        <v>45701</v>
      </c>
      <c r="B16" s="3">
        <v>0.60416666666666663</v>
      </c>
      <c r="C16" s="3">
        <v>0.91666666666666663</v>
      </c>
      <c r="D16" s="19" t="str">
        <f>+IF(Tabla1[[#This Row],[Hora inicio]]&lt;$B$1,"Mañana","Tarde")</f>
        <v>Tarde</v>
      </c>
      <c r="E16" t="s">
        <v>134</v>
      </c>
      <c r="F16" s="19">
        <f>IF(Tabla1[[#This Row],[P/LC/CF/CL]]="P",Tabla1[[#This Row],[Hora fin ]]-Tabla1[[#This Row],[Hora inicio]],"")</f>
        <v>0.3125</v>
      </c>
      <c r="G16" s="19">
        <f>Tabla1[[#This Row],[Hora fin ]]-Tabla1[[#This Row],[Hora inicio]]</f>
        <v>0.3125</v>
      </c>
      <c r="H16" s="16">
        <f>WEEKNUM(Tabla1[[#This Row],[Día]])</f>
        <v>7</v>
      </c>
      <c r="I16">
        <v>10260</v>
      </c>
      <c r="J16" s="16">
        <f>IFERROR(((HOUR(Tabla1[[#This Row],[Tiempo producción]])*60+MINUTE(Tabla1[[#This Row],[Tiempo producción]]))/60)*$J$1,"")</f>
        <v>13500</v>
      </c>
      <c r="K16" s="21">
        <f>IFERROR(Tabla1[[#This Row],[Cantidad producida]]/Tabla1[[#This Row],[Cantidad teórica]],"")</f>
        <v>0.76</v>
      </c>
      <c r="L16" s="3"/>
      <c r="M16" s="23" t="str">
        <f>IF(Tabla1[[#This Row],[P/LC/CF/CL]]&lt;&gt;"P",Tabla1[[#This Row],[Hora fin ]]-Tabla1[[#This Row],[Hora inicio]],"")</f>
        <v/>
      </c>
      <c r="N16" t="str">
        <f>IF(Tabla1[[#This Row],[Cantidad producida]]&gt;Tabla1[[#This Row],[Cantidad teórica]],"SI","")</f>
        <v/>
      </c>
    </row>
    <row r="17" spans="1:14" x14ac:dyDescent="0.25">
      <c r="A17" s="20">
        <v>45702</v>
      </c>
      <c r="B17" s="3">
        <v>0.59375</v>
      </c>
      <c r="C17" s="3">
        <v>0.70486111111111116</v>
      </c>
      <c r="D17" s="19" t="str">
        <f>+IF(Tabla1[[#This Row],[Hora inicio]]&lt;$B$1,"Mañana","Tarde")</f>
        <v>Tarde</v>
      </c>
      <c r="E17" t="s">
        <v>134</v>
      </c>
      <c r="F17" s="19">
        <f>IF(Tabla1[[#This Row],[P/LC/CF/CL]]="P",Tabla1[[#This Row],[Hora fin ]]-Tabla1[[#This Row],[Hora inicio]],"")</f>
        <v>0.11111111111111116</v>
      </c>
      <c r="G17" s="19">
        <f>Tabla1[[#This Row],[Hora fin ]]-Tabla1[[#This Row],[Hora inicio]]</f>
        <v>0.11111111111111116</v>
      </c>
      <c r="H17" s="16">
        <f>WEEKNUM(Tabla1[[#This Row],[Día]])</f>
        <v>7</v>
      </c>
      <c r="I17">
        <v>4716</v>
      </c>
      <c r="J17" s="16">
        <f>IFERROR(((HOUR(Tabla1[[#This Row],[Tiempo producción]])*60+MINUTE(Tabla1[[#This Row],[Tiempo producción]]))/60)*$J$1,"")</f>
        <v>4800</v>
      </c>
      <c r="K17" s="21">
        <f>IFERROR(Tabla1[[#This Row],[Cantidad producida]]/Tabla1[[#This Row],[Cantidad teórica]],"")</f>
        <v>0.98250000000000004</v>
      </c>
      <c r="L17" s="3"/>
      <c r="M17" s="23" t="str">
        <f>IF(Tabla1[[#This Row],[P/LC/CF/CL]]&lt;&gt;"P",Tabla1[[#This Row],[Hora fin ]]-Tabla1[[#This Row],[Hora inicio]],"")</f>
        <v/>
      </c>
      <c r="N17" t="str">
        <f>IF(Tabla1[[#This Row],[Cantidad producida]]&gt;Tabla1[[#This Row],[Cantidad teórica]],"SI","")</f>
        <v/>
      </c>
    </row>
    <row r="18" spans="1:14" x14ac:dyDescent="0.25">
      <c r="A18" s="20">
        <v>45702</v>
      </c>
      <c r="B18" s="3">
        <v>0.72916666666666663</v>
      </c>
      <c r="C18" s="3">
        <v>0.89583333333333337</v>
      </c>
      <c r="D18" s="19" t="str">
        <f>+IF(Tabla1[[#This Row],[Hora inicio]]&lt;$B$1,"Mañana","Tarde")</f>
        <v>Tarde</v>
      </c>
      <c r="E18" t="s">
        <v>134</v>
      </c>
      <c r="F18" s="19">
        <f>IF(Tabla1[[#This Row],[P/LC/CF/CL]]="P",Tabla1[[#This Row],[Hora fin ]]-Tabla1[[#This Row],[Hora inicio]],"")</f>
        <v>0.16666666666666674</v>
      </c>
      <c r="G18" s="19">
        <f>Tabla1[[#This Row],[Hora fin ]]-Tabla1[[#This Row],[Hora inicio]]</f>
        <v>0.16666666666666674</v>
      </c>
      <c r="H18" s="16">
        <f>WEEKNUM(Tabla1[[#This Row],[Día]])</f>
        <v>7</v>
      </c>
      <c r="I18">
        <v>5670</v>
      </c>
      <c r="J18" s="16">
        <f>IFERROR(((HOUR(Tabla1[[#This Row],[Tiempo producción]])*60+MINUTE(Tabla1[[#This Row],[Tiempo producción]]))/60)*$J$1,"")</f>
        <v>7200</v>
      </c>
      <c r="K18" s="21">
        <f>IFERROR(Tabla1[[#This Row],[Cantidad producida]]/Tabla1[[#This Row],[Cantidad teórica]],"")</f>
        <v>0.78749999999999998</v>
      </c>
      <c r="L18" s="3"/>
      <c r="M18" s="23" t="str">
        <f>IF(Tabla1[[#This Row],[P/LC/CF/CL]]&lt;&gt;"P",Tabla1[[#This Row],[Hora fin ]]-Tabla1[[#This Row],[Hora inicio]],"")</f>
        <v/>
      </c>
      <c r="N18" t="str">
        <f>IF(Tabla1[[#This Row],[Cantidad producida]]&gt;Tabla1[[#This Row],[Cantidad teórica]],"SI","")</f>
        <v/>
      </c>
    </row>
    <row r="19" spans="1:14" x14ac:dyDescent="0.25">
      <c r="A19" s="20">
        <v>45705</v>
      </c>
      <c r="B19" s="3">
        <v>0.25</v>
      </c>
      <c r="C19" s="3">
        <v>0.56944444444444442</v>
      </c>
      <c r="D19" s="19" t="str">
        <f>+IF(Tabla1[[#This Row],[Hora inicio]]&lt;$B$1,"Mañana","Tarde")</f>
        <v>Mañana</v>
      </c>
      <c r="E19" t="s">
        <v>134</v>
      </c>
      <c r="F19" s="19">
        <f>IF(Tabla1[[#This Row],[P/LC/CF/CL]]="P",Tabla1[[#This Row],[Hora fin ]]-Tabla1[[#This Row],[Hora inicio]],"")</f>
        <v>0.31944444444444442</v>
      </c>
      <c r="G19" s="19">
        <f>Tabla1[[#This Row],[Hora fin ]]-Tabla1[[#This Row],[Hora inicio]]</f>
        <v>0.31944444444444442</v>
      </c>
      <c r="H19" s="16">
        <f>WEEKNUM(Tabla1[[#This Row],[Día]])</f>
        <v>8</v>
      </c>
      <c r="I19">
        <v>9300</v>
      </c>
      <c r="J19" s="16">
        <f>IFERROR(((HOUR(Tabla1[[#This Row],[Tiempo producción]])*60+MINUTE(Tabla1[[#This Row],[Tiempo producción]]))/60)*$J$1,"")</f>
        <v>13800</v>
      </c>
      <c r="K19" s="21">
        <f>IFERROR(Tabla1[[#This Row],[Cantidad producida]]/Tabla1[[#This Row],[Cantidad teórica]],"")</f>
        <v>0.67391304347826086</v>
      </c>
      <c r="L19" s="3"/>
      <c r="M19" s="23" t="str">
        <f>IF(Tabla1[[#This Row],[P/LC/CF/CL]]&lt;&gt;"P",Tabla1[[#This Row],[Hora fin ]]-Tabla1[[#This Row],[Hora inicio]],"")</f>
        <v/>
      </c>
      <c r="N19" t="str">
        <f>IF(Tabla1[[#This Row],[Cantidad producida]]&gt;Tabla1[[#This Row],[Cantidad teórica]],"SI","")</f>
        <v/>
      </c>
    </row>
    <row r="20" spans="1:14" x14ac:dyDescent="0.25">
      <c r="A20" s="20">
        <v>45706</v>
      </c>
      <c r="B20" s="3">
        <v>0.79861111111111116</v>
      </c>
      <c r="C20" s="3">
        <v>0.89583333333333337</v>
      </c>
      <c r="D20" s="19" t="str">
        <f>+IF(Tabla1[[#This Row],[Hora inicio]]&lt;$B$1,"Mañana","Tarde")</f>
        <v>Tarde</v>
      </c>
      <c r="E20" t="s">
        <v>134</v>
      </c>
      <c r="F20" s="19">
        <f>IF(Tabla1[[#This Row],[P/LC/CF/CL]]="P",Tabla1[[#This Row],[Hora fin ]]-Tabla1[[#This Row],[Hora inicio]],"")</f>
        <v>9.722222222222221E-2</v>
      </c>
      <c r="G20" s="19">
        <f>Tabla1[[#This Row],[Hora fin ]]-Tabla1[[#This Row],[Hora inicio]]</f>
        <v>9.722222222222221E-2</v>
      </c>
      <c r="H20" s="16">
        <f>WEEKNUM(Tabla1[[#This Row],[Día]])</f>
        <v>8</v>
      </c>
      <c r="I20">
        <v>2784</v>
      </c>
      <c r="J20" s="16">
        <f>IFERROR(((HOUR(Tabla1[[#This Row],[Tiempo producción]])*60+MINUTE(Tabla1[[#This Row],[Tiempo producción]]))/60)*$J$1,"")</f>
        <v>4200</v>
      </c>
      <c r="K20" s="21">
        <f>IFERROR(Tabla1[[#This Row],[Cantidad producida]]/Tabla1[[#This Row],[Cantidad teórica]],"")</f>
        <v>0.66285714285714281</v>
      </c>
      <c r="L20" s="3"/>
      <c r="M20" s="23" t="str">
        <f>IF(Tabla1[[#This Row],[P/LC/CF/CL]]&lt;&gt;"P",Tabla1[[#This Row],[Hora fin ]]-Tabla1[[#This Row],[Hora inicio]],"")</f>
        <v/>
      </c>
      <c r="N20" t="str">
        <f>IF(Tabla1[[#This Row],[Cantidad producida]]&gt;Tabla1[[#This Row],[Cantidad teórica]],"SI","")</f>
        <v/>
      </c>
    </row>
    <row r="21" spans="1:14" x14ac:dyDescent="0.25">
      <c r="A21" s="20">
        <v>45707</v>
      </c>
      <c r="B21" s="3">
        <v>0.25694444444444442</v>
      </c>
      <c r="C21" s="3">
        <v>0.36458333333333331</v>
      </c>
      <c r="D21" s="19" t="str">
        <f>+IF(Tabla1[[#This Row],[Hora inicio]]&lt;$B$1,"Mañana","Tarde")</f>
        <v>Mañana</v>
      </c>
      <c r="E21" t="s">
        <v>134</v>
      </c>
      <c r="F21" s="19">
        <f>IF(Tabla1[[#This Row],[P/LC/CF/CL]]="P",Tabla1[[#This Row],[Hora fin ]]-Tabla1[[#This Row],[Hora inicio]],"")</f>
        <v>0.1076388888888889</v>
      </c>
      <c r="G21" s="19">
        <f>Tabla1[[#This Row],[Hora fin ]]-Tabla1[[#This Row],[Hora inicio]]</f>
        <v>0.1076388888888889</v>
      </c>
      <c r="H21" s="16">
        <f>WEEKNUM(Tabla1[[#This Row],[Día]])</f>
        <v>8</v>
      </c>
      <c r="I21">
        <v>2174</v>
      </c>
      <c r="J21" s="16">
        <f>IFERROR(((HOUR(Tabla1[[#This Row],[Tiempo producción]])*60+MINUTE(Tabla1[[#This Row],[Tiempo producción]]))/60)*$J$1,"")</f>
        <v>4650</v>
      </c>
      <c r="K21" s="21">
        <f>IFERROR(Tabla1[[#This Row],[Cantidad producida]]/Tabla1[[#This Row],[Cantidad teórica]],"")</f>
        <v>0.46752688172043011</v>
      </c>
      <c r="L21" s="3"/>
      <c r="M21" s="23" t="str">
        <f>IF(Tabla1[[#This Row],[P/LC/CF/CL]]&lt;&gt;"P",Tabla1[[#This Row],[Hora fin ]]-Tabla1[[#This Row],[Hora inicio]],"")</f>
        <v/>
      </c>
      <c r="N21" t="str">
        <f>IF(Tabla1[[#This Row],[Cantidad producida]]&gt;Tabla1[[#This Row],[Cantidad teórica]],"SI","")</f>
        <v/>
      </c>
    </row>
    <row r="22" spans="1:14" x14ac:dyDescent="0.25">
      <c r="A22" s="20">
        <v>45707</v>
      </c>
      <c r="B22" s="3">
        <v>0.375</v>
      </c>
      <c r="C22" s="3">
        <v>0.5625</v>
      </c>
      <c r="D22" s="19" t="str">
        <f>+IF(Tabla1[[#This Row],[Hora inicio]]&lt;$B$1,"Mañana","Tarde")</f>
        <v>Mañana</v>
      </c>
      <c r="E22" t="s">
        <v>134</v>
      </c>
      <c r="F22" s="19">
        <f>IF(Tabla1[[#This Row],[P/LC/CF/CL]]="P",Tabla1[[#This Row],[Hora fin ]]-Tabla1[[#This Row],[Hora inicio]],"")</f>
        <v>0.1875</v>
      </c>
      <c r="G22" s="19">
        <f>Tabla1[[#This Row],[Hora fin ]]-Tabla1[[#This Row],[Hora inicio]]</f>
        <v>0.1875</v>
      </c>
      <c r="H22" s="16">
        <f>WEEKNUM(Tabla1[[#This Row],[Día]])</f>
        <v>8</v>
      </c>
      <c r="I22">
        <v>661</v>
      </c>
      <c r="J22" s="16">
        <f>IFERROR(((HOUR(Tabla1[[#This Row],[Tiempo producción]])*60+MINUTE(Tabla1[[#This Row],[Tiempo producción]]))/60)*$J$1,"")</f>
        <v>8100</v>
      </c>
      <c r="K22" s="21">
        <f>IFERROR(Tabla1[[#This Row],[Cantidad producida]]/Tabla1[[#This Row],[Cantidad teórica]],"")</f>
        <v>8.1604938271604935E-2</v>
      </c>
      <c r="L22" s="3"/>
      <c r="M22" s="23" t="str">
        <f>IF(Tabla1[[#This Row],[P/LC/CF/CL]]&lt;&gt;"P",Tabla1[[#This Row],[Hora fin ]]-Tabla1[[#This Row],[Hora inicio]],"")</f>
        <v/>
      </c>
      <c r="N22" t="str">
        <f>IF(Tabla1[[#This Row],[Cantidad producida]]&gt;Tabla1[[#This Row],[Cantidad teórica]],"SI","")</f>
        <v/>
      </c>
    </row>
    <row r="23" spans="1:14" x14ac:dyDescent="0.25">
      <c r="A23" s="20">
        <v>45707</v>
      </c>
      <c r="B23" s="3">
        <v>0.60763888888888884</v>
      </c>
      <c r="C23" s="3">
        <v>0.89930555555555558</v>
      </c>
      <c r="D23" s="19" t="str">
        <f>+IF(Tabla1[[#This Row],[Hora inicio]]&lt;$B$1,"Mañana","Tarde")</f>
        <v>Tarde</v>
      </c>
      <c r="E23" t="s">
        <v>134</v>
      </c>
      <c r="F23" s="19">
        <f>IF(Tabla1[[#This Row],[P/LC/CF/CL]]="P",Tabla1[[#This Row],[Hora fin ]]-Tabla1[[#This Row],[Hora inicio]],"")</f>
        <v>0.29166666666666674</v>
      </c>
      <c r="G23" s="19">
        <f>Tabla1[[#This Row],[Hora fin ]]-Tabla1[[#This Row],[Hora inicio]]</f>
        <v>0.29166666666666674</v>
      </c>
      <c r="H23" s="16">
        <f>WEEKNUM(Tabla1[[#This Row],[Día]])</f>
        <v>8</v>
      </c>
      <c r="I23">
        <v>3339</v>
      </c>
      <c r="J23" s="16">
        <f>IFERROR(((HOUR(Tabla1[[#This Row],[Tiempo producción]])*60+MINUTE(Tabla1[[#This Row],[Tiempo producción]]))/60)*$J$1,"")</f>
        <v>12600</v>
      </c>
      <c r="K23" s="21">
        <f>IFERROR(Tabla1[[#This Row],[Cantidad producida]]/Tabla1[[#This Row],[Cantidad teórica]],"")</f>
        <v>0.26500000000000001</v>
      </c>
      <c r="L23" s="3"/>
      <c r="M23" s="23" t="str">
        <f>IF(Tabla1[[#This Row],[P/LC/CF/CL]]&lt;&gt;"P",Tabla1[[#This Row],[Hora fin ]]-Tabla1[[#This Row],[Hora inicio]],"")</f>
        <v/>
      </c>
      <c r="N23" t="str">
        <f>IF(Tabla1[[#This Row],[Cantidad producida]]&gt;Tabla1[[#This Row],[Cantidad teórica]],"SI","")</f>
        <v/>
      </c>
    </row>
    <row r="24" spans="1:14" x14ac:dyDescent="0.25">
      <c r="A24" s="20">
        <v>45708</v>
      </c>
      <c r="B24" s="3">
        <v>0.27083333333333331</v>
      </c>
      <c r="C24" s="3">
        <v>0.36458333333333331</v>
      </c>
      <c r="D24" s="19" t="str">
        <f>+IF(Tabla1[[#This Row],[Hora inicio]]&lt;$B$1,"Mañana","Tarde")</f>
        <v>Mañana</v>
      </c>
      <c r="E24" t="s">
        <v>134</v>
      </c>
      <c r="F24" s="19">
        <f>IF(Tabla1[[#This Row],[P/LC/CF/CL]]="P",Tabla1[[#This Row],[Hora fin ]]-Tabla1[[#This Row],[Hora inicio]],"")</f>
        <v>9.375E-2</v>
      </c>
      <c r="G24" s="19">
        <f>Tabla1[[#This Row],[Hora fin ]]-Tabla1[[#This Row],[Hora inicio]]</f>
        <v>9.375E-2</v>
      </c>
      <c r="H24" s="16">
        <f>WEEKNUM(Tabla1[[#This Row],[Día]])</f>
        <v>8</v>
      </c>
      <c r="I24">
        <v>1000</v>
      </c>
      <c r="J24" s="16">
        <f>IFERROR(((HOUR(Tabla1[[#This Row],[Tiempo producción]])*60+MINUTE(Tabla1[[#This Row],[Tiempo producción]]))/60)*$J$1,"")</f>
        <v>4050</v>
      </c>
      <c r="K24" s="21">
        <f>IFERROR(Tabla1[[#This Row],[Cantidad producida]]/Tabla1[[#This Row],[Cantidad teórica]],"")</f>
        <v>0.24691358024691357</v>
      </c>
      <c r="L24" s="3"/>
      <c r="M24" s="23" t="str">
        <f>IF(Tabla1[[#This Row],[P/LC/CF/CL]]&lt;&gt;"P",Tabla1[[#This Row],[Hora fin ]]-Tabla1[[#This Row],[Hora inicio]],"")</f>
        <v/>
      </c>
      <c r="N24" t="str">
        <f>IF(Tabla1[[#This Row],[Cantidad producida]]&gt;Tabla1[[#This Row],[Cantidad teórica]],"SI","")</f>
        <v/>
      </c>
    </row>
    <row r="25" spans="1:14" x14ac:dyDescent="0.25">
      <c r="A25" s="20">
        <v>45716</v>
      </c>
      <c r="B25" s="3">
        <v>0.30208333333333331</v>
      </c>
      <c r="C25" s="3">
        <v>0.51388888888888884</v>
      </c>
      <c r="D25" s="19" t="str">
        <f>+IF(Tabla1[[#This Row],[Hora inicio]]&lt;$B$1,"Mañana","Tarde")</f>
        <v>Mañana</v>
      </c>
      <c r="E25" t="s">
        <v>134</v>
      </c>
      <c r="F25" s="19">
        <f>IF(Tabla1[[#This Row],[P/LC/CF/CL]]="P",Tabla1[[#This Row],[Hora fin ]]-Tabla1[[#This Row],[Hora inicio]],"")</f>
        <v>0.21180555555555552</v>
      </c>
      <c r="G25" s="19">
        <f>Tabla1[[#This Row],[Hora fin ]]-Tabla1[[#This Row],[Hora inicio]]</f>
        <v>0.21180555555555552</v>
      </c>
      <c r="H25" s="16">
        <f>WEEKNUM(Tabla1[[#This Row],[Día]])</f>
        <v>9</v>
      </c>
      <c r="I25">
        <v>3607</v>
      </c>
      <c r="J25" s="16">
        <f>IFERROR(((HOUR(Tabla1[[#This Row],[Tiempo producción]])*60+MINUTE(Tabla1[[#This Row],[Tiempo producción]]))/60)*$J$1,"")</f>
        <v>9150</v>
      </c>
      <c r="K25" s="21">
        <f>IFERROR(Tabla1[[#This Row],[Cantidad producida]]/Tabla1[[#This Row],[Cantidad teórica]],"")</f>
        <v>0.39420765027322402</v>
      </c>
      <c r="L25" s="3"/>
      <c r="M25" s="23" t="str">
        <f>IF(Tabla1[[#This Row],[P/LC/CF/CL]]&lt;&gt;"P",Tabla1[[#This Row],[Hora fin ]]-Tabla1[[#This Row],[Hora inicio]],"")</f>
        <v/>
      </c>
      <c r="N25" t="str">
        <f>IF(Tabla1[[#This Row],[Cantidad producida]]&gt;Tabla1[[#This Row],[Cantidad teórica]],"SI","")</f>
        <v/>
      </c>
    </row>
    <row r="26" spans="1:14" x14ac:dyDescent="0.25">
      <c r="A26" s="20">
        <v>45716</v>
      </c>
      <c r="B26" s="3">
        <v>0.61458333333333337</v>
      </c>
      <c r="C26" s="3">
        <v>0.65277777777777779</v>
      </c>
      <c r="D26" s="19" t="str">
        <f>+IF(Tabla1[[#This Row],[Hora inicio]]&lt;$B$1,"Mañana","Tarde")</f>
        <v>Tarde</v>
      </c>
      <c r="E26" t="s">
        <v>134</v>
      </c>
      <c r="F26" s="19">
        <f>IF(Tabla1[[#This Row],[P/LC/CF/CL]]="P",Tabla1[[#This Row],[Hora fin ]]-Tabla1[[#This Row],[Hora inicio]],"")</f>
        <v>3.819444444444442E-2</v>
      </c>
      <c r="G26" s="19">
        <f>Tabla1[[#This Row],[Hora fin ]]-Tabla1[[#This Row],[Hora inicio]]</f>
        <v>3.819444444444442E-2</v>
      </c>
      <c r="H26" s="16">
        <f>WEEKNUM(Tabla1[[#This Row],[Día]])</f>
        <v>9</v>
      </c>
      <c r="I26">
        <v>962</v>
      </c>
      <c r="J26" s="16">
        <f>IFERROR(((HOUR(Tabla1[[#This Row],[Tiempo producción]])*60+MINUTE(Tabla1[[#This Row],[Tiempo producción]]))/60)*$J$1,"")</f>
        <v>1650</v>
      </c>
      <c r="K26" s="21">
        <f>IFERROR(Tabla1[[#This Row],[Cantidad producida]]/Tabla1[[#This Row],[Cantidad teórica]],"")</f>
        <v>0.58303030303030301</v>
      </c>
      <c r="L26" s="3"/>
      <c r="M26" s="23" t="str">
        <f>IF(Tabla1[[#This Row],[P/LC/CF/CL]]&lt;&gt;"P",Tabla1[[#This Row],[Hora fin ]]-Tabla1[[#This Row],[Hora inicio]],"")</f>
        <v/>
      </c>
      <c r="N26" t="str">
        <f>IF(Tabla1[[#This Row],[Cantidad producida]]&gt;Tabla1[[#This Row],[Cantidad teórica]],"SI","")</f>
        <v/>
      </c>
    </row>
    <row r="27" spans="1:14" x14ac:dyDescent="0.25">
      <c r="A27" s="20">
        <v>45716</v>
      </c>
      <c r="B27" s="3">
        <v>0.67708333333333337</v>
      </c>
      <c r="C27" s="3">
        <v>0.71180555555555558</v>
      </c>
      <c r="D27" s="19" t="str">
        <f>+IF(Tabla1[[#This Row],[Hora inicio]]&lt;$B$1,"Mañana","Tarde")</f>
        <v>Tarde</v>
      </c>
      <c r="E27" t="s">
        <v>134</v>
      </c>
      <c r="F27" s="19">
        <f>IF(Tabla1[[#This Row],[P/LC/CF/CL]]="P",Tabla1[[#This Row],[Hora fin ]]-Tabla1[[#This Row],[Hora inicio]],"")</f>
        <v>3.472222222222221E-2</v>
      </c>
      <c r="G27" s="19">
        <f>Tabla1[[#This Row],[Hora fin ]]-Tabla1[[#This Row],[Hora inicio]]</f>
        <v>3.472222222222221E-2</v>
      </c>
      <c r="H27" s="16">
        <f>WEEKNUM(Tabla1[[#This Row],[Día]])</f>
        <v>9</v>
      </c>
      <c r="I27">
        <v>736</v>
      </c>
      <c r="J27" s="16">
        <f>IFERROR(((HOUR(Tabla1[[#This Row],[Tiempo producción]])*60+MINUTE(Tabla1[[#This Row],[Tiempo producción]]))/60)*$J$1,"")</f>
        <v>1500</v>
      </c>
      <c r="K27" s="21">
        <f>IFERROR(Tabla1[[#This Row],[Cantidad producida]]/Tabla1[[#This Row],[Cantidad teórica]],"")</f>
        <v>0.49066666666666664</v>
      </c>
      <c r="L27" s="3"/>
      <c r="M27" s="23" t="str">
        <f>IF(Tabla1[[#This Row],[P/LC/CF/CL]]&lt;&gt;"P",Tabla1[[#This Row],[Hora fin ]]-Tabla1[[#This Row],[Hora inicio]],"")</f>
        <v/>
      </c>
      <c r="N27" t="str">
        <f>IF(Tabla1[[#This Row],[Cantidad producida]]&gt;Tabla1[[#This Row],[Cantidad teórica]],"SI","")</f>
        <v/>
      </c>
    </row>
    <row r="28" spans="1:14" x14ac:dyDescent="0.25">
      <c r="A28" s="20">
        <v>45716</v>
      </c>
      <c r="B28" s="3">
        <v>0.73611111111111116</v>
      </c>
      <c r="C28" s="3">
        <v>0.84375</v>
      </c>
      <c r="D28" s="19" t="str">
        <f>+IF(Tabla1[[#This Row],[Hora inicio]]&lt;$B$1,"Mañana","Tarde")</f>
        <v>Tarde</v>
      </c>
      <c r="E28" t="s">
        <v>134</v>
      </c>
      <c r="F28" s="19">
        <f>IF(Tabla1[[#This Row],[P/LC/CF/CL]]="P",Tabla1[[#This Row],[Hora fin ]]-Tabla1[[#This Row],[Hora inicio]],"")</f>
        <v>0.10763888888888884</v>
      </c>
      <c r="G28" s="19">
        <f>Tabla1[[#This Row],[Hora fin ]]-Tabla1[[#This Row],[Hora inicio]]</f>
        <v>0.10763888888888884</v>
      </c>
      <c r="H28" s="16">
        <f>WEEKNUM(Tabla1[[#This Row],[Día]])</f>
        <v>9</v>
      </c>
      <c r="I28">
        <v>1728</v>
      </c>
      <c r="J28" s="16">
        <f>IFERROR(((HOUR(Tabla1[[#This Row],[Tiempo producción]])*60+MINUTE(Tabla1[[#This Row],[Tiempo producción]]))/60)*$J$1,"")</f>
        <v>4650</v>
      </c>
      <c r="K28" s="21">
        <f>IFERROR(Tabla1[[#This Row],[Cantidad producida]]/Tabla1[[#This Row],[Cantidad teórica]],"")</f>
        <v>0.37161290322580648</v>
      </c>
      <c r="L28" s="3"/>
      <c r="M28" s="23" t="str">
        <f>IF(Tabla1[[#This Row],[P/LC/CF/CL]]&lt;&gt;"P",Tabla1[[#This Row],[Hora fin ]]-Tabla1[[#This Row],[Hora inicio]],"")</f>
        <v/>
      </c>
      <c r="N28" t="str">
        <f>IF(Tabla1[[#This Row],[Cantidad producida]]&gt;Tabla1[[#This Row],[Cantidad teórica]],"SI","")</f>
        <v/>
      </c>
    </row>
    <row r="29" spans="1:14" x14ac:dyDescent="0.25">
      <c r="A29" s="20">
        <v>45719</v>
      </c>
      <c r="B29" s="3">
        <v>0.28819444444444442</v>
      </c>
      <c r="C29" s="3">
        <v>0.3923611111111111</v>
      </c>
      <c r="D29" s="19" t="str">
        <f>+IF(Tabla1[[#This Row],[Hora inicio]]&lt;$B$1,"Mañana","Tarde")</f>
        <v>Mañana</v>
      </c>
      <c r="E29" t="s">
        <v>134</v>
      </c>
      <c r="F29" s="19">
        <f>IF(Tabla1[[#This Row],[P/LC/CF/CL]]="P",Tabla1[[#This Row],[Hora fin ]]-Tabla1[[#This Row],[Hora inicio]],"")</f>
        <v>0.10416666666666669</v>
      </c>
      <c r="G29" s="19">
        <f>Tabla1[[#This Row],[Hora fin ]]-Tabla1[[#This Row],[Hora inicio]]</f>
        <v>0.10416666666666669</v>
      </c>
      <c r="H29" s="16">
        <f>WEEKNUM(Tabla1[[#This Row],[Día]])</f>
        <v>10</v>
      </c>
      <c r="I29">
        <v>768</v>
      </c>
      <c r="J29" s="16">
        <f>IFERROR(((HOUR(Tabla1[[#This Row],[Tiempo producción]])*60+MINUTE(Tabla1[[#This Row],[Tiempo producción]]))/60)*$J$1,"")</f>
        <v>4500</v>
      </c>
      <c r="K29" s="21">
        <f>IFERROR(Tabla1[[#This Row],[Cantidad producida]]/Tabla1[[#This Row],[Cantidad teórica]],"")</f>
        <v>0.17066666666666666</v>
      </c>
      <c r="L29" s="3"/>
      <c r="M29" s="23" t="str">
        <f>IF(Tabla1[[#This Row],[P/LC/CF/CL]]&lt;&gt;"P",Tabla1[[#This Row],[Hora fin ]]-Tabla1[[#This Row],[Hora inicio]],"")</f>
        <v/>
      </c>
      <c r="N29" t="str">
        <f>IF(Tabla1[[#This Row],[Cantidad producida]]&gt;Tabla1[[#This Row],[Cantidad teórica]],"SI","")</f>
        <v/>
      </c>
    </row>
    <row r="30" spans="1:14" x14ac:dyDescent="0.25">
      <c r="A30" s="20">
        <v>45719</v>
      </c>
      <c r="B30" s="3">
        <v>0.4513888888888889</v>
      </c>
      <c r="C30" s="3">
        <v>0.47916666666666669</v>
      </c>
      <c r="D30" s="19" t="str">
        <f>+IF(Tabla1[[#This Row],[Hora inicio]]&lt;$B$1,"Mañana","Tarde")</f>
        <v>Mañana</v>
      </c>
      <c r="E30" t="s">
        <v>134</v>
      </c>
      <c r="F30" s="19">
        <f>IF(Tabla1[[#This Row],[P/LC/CF/CL]]="P",Tabla1[[#This Row],[Hora fin ]]-Tabla1[[#This Row],[Hora inicio]],"")</f>
        <v>2.777777777777779E-2</v>
      </c>
      <c r="G30" s="19">
        <f>Tabla1[[#This Row],[Hora fin ]]-Tabla1[[#This Row],[Hora inicio]]</f>
        <v>2.777777777777779E-2</v>
      </c>
      <c r="H30" s="16">
        <f>WEEKNUM(Tabla1[[#This Row],[Día]])</f>
        <v>10</v>
      </c>
      <c r="I30">
        <v>384</v>
      </c>
      <c r="J30" s="16">
        <f>IFERROR(((HOUR(Tabla1[[#This Row],[Tiempo producción]])*60+MINUTE(Tabla1[[#This Row],[Tiempo producción]]))/60)*$J$1,"")</f>
        <v>1200</v>
      </c>
      <c r="K30" s="21">
        <f>IFERROR(Tabla1[[#This Row],[Cantidad producida]]/Tabla1[[#This Row],[Cantidad teórica]],"")</f>
        <v>0.32</v>
      </c>
      <c r="L30" s="3"/>
      <c r="M30" s="23" t="str">
        <f>IF(Tabla1[[#This Row],[P/LC/CF/CL]]&lt;&gt;"P",Tabla1[[#This Row],[Hora fin ]]-Tabla1[[#This Row],[Hora inicio]],"")</f>
        <v/>
      </c>
      <c r="N30" t="str">
        <f>IF(Tabla1[[#This Row],[Cantidad producida]]&gt;Tabla1[[#This Row],[Cantidad teórica]],"SI","")</f>
        <v/>
      </c>
    </row>
    <row r="31" spans="1:14" x14ac:dyDescent="0.25">
      <c r="A31" s="20">
        <v>45719</v>
      </c>
      <c r="B31" s="3">
        <v>0.50694444444444442</v>
      </c>
      <c r="C31" s="3">
        <v>0.54861111111111116</v>
      </c>
      <c r="D31" s="19" t="str">
        <f>+IF(Tabla1[[#This Row],[Hora inicio]]&lt;$B$1,"Mañana","Tarde")</f>
        <v>Mañana</v>
      </c>
      <c r="E31" t="s">
        <v>134</v>
      </c>
      <c r="F31" s="19">
        <f>IF(Tabla1[[#This Row],[P/LC/CF/CL]]="P",Tabla1[[#This Row],[Hora fin ]]-Tabla1[[#This Row],[Hora inicio]],"")</f>
        <v>4.1666666666666741E-2</v>
      </c>
      <c r="G31" s="19">
        <f>Tabla1[[#This Row],[Hora fin ]]-Tabla1[[#This Row],[Hora inicio]]</f>
        <v>4.1666666666666741E-2</v>
      </c>
      <c r="H31" s="16">
        <f>WEEKNUM(Tabla1[[#This Row],[Día]])</f>
        <v>10</v>
      </c>
      <c r="I31">
        <v>960</v>
      </c>
      <c r="J31" s="16">
        <f>IFERROR(((HOUR(Tabla1[[#This Row],[Tiempo producción]])*60+MINUTE(Tabla1[[#This Row],[Tiempo producción]]))/60)*$J$1,"")</f>
        <v>1800</v>
      </c>
      <c r="K31" s="21">
        <f>IFERROR(Tabla1[[#This Row],[Cantidad producida]]/Tabla1[[#This Row],[Cantidad teórica]],"")</f>
        <v>0.53333333333333333</v>
      </c>
      <c r="L31" s="3"/>
      <c r="M31" s="23" t="str">
        <f>IF(Tabla1[[#This Row],[P/LC/CF/CL]]&lt;&gt;"P",Tabla1[[#This Row],[Hora fin ]]-Tabla1[[#This Row],[Hora inicio]],"")</f>
        <v/>
      </c>
      <c r="N31" t="str">
        <f>IF(Tabla1[[#This Row],[Cantidad producida]]&gt;Tabla1[[#This Row],[Cantidad teórica]],"SI","")</f>
        <v/>
      </c>
    </row>
    <row r="32" spans="1:14" x14ac:dyDescent="0.25">
      <c r="A32" s="20">
        <v>45719</v>
      </c>
      <c r="B32" s="3">
        <v>0.60069444444444442</v>
      </c>
      <c r="C32" s="3">
        <v>0.65972222222222221</v>
      </c>
      <c r="D32" s="19" t="str">
        <f>+IF(Tabla1[[#This Row],[Hora inicio]]&lt;$B$1,"Mañana","Tarde")</f>
        <v>Tarde</v>
      </c>
      <c r="E32" t="s">
        <v>134</v>
      </c>
      <c r="F32" s="19">
        <f>IF(Tabla1[[#This Row],[P/LC/CF/CL]]="P",Tabla1[[#This Row],[Hora fin ]]-Tabla1[[#This Row],[Hora inicio]],"")</f>
        <v>5.902777777777779E-2</v>
      </c>
      <c r="G32" s="19">
        <f>Tabla1[[#This Row],[Hora fin ]]-Tabla1[[#This Row],[Hora inicio]]</f>
        <v>5.902777777777779E-2</v>
      </c>
      <c r="H32" s="16">
        <f>WEEKNUM(Tabla1[[#This Row],[Día]])</f>
        <v>10</v>
      </c>
      <c r="I32">
        <v>1287</v>
      </c>
      <c r="J32" s="16">
        <f>IFERROR(((HOUR(Tabla1[[#This Row],[Tiempo producción]])*60+MINUTE(Tabla1[[#This Row],[Tiempo producción]]))/60)*$J$1,"")</f>
        <v>2550</v>
      </c>
      <c r="K32" s="21">
        <f>IFERROR(Tabla1[[#This Row],[Cantidad producida]]/Tabla1[[#This Row],[Cantidad teórica]],"")</f>
        <v>0.50470588235294123</v>
      </c>
      <c r="L32" s="3"/>
      <c r="M32" s="23" t="str">
        <f>IF(Tabla1[[#This Row],[P/LC/CF/CL]]&lt;&gt;"P",Tabla1[[#This Row],[Hora fin ]]-Tabla1[[#This Row],[Hora inicio]],"")</f>
        <v/>
      </c>
      <c r="N32" t="str">
        <f>IF(Tabla1[[#This Row],[Cantidad producida]]&gt;Tabla1[[#This Row],[Cantidad teórica]],"SI","")</f>
        <v/>
      </c>
    </row>
    <row r="33" spans="1:14" x14ac:dyDescent="0.25">
      <c r="A33" s="20">
        <v>45719</v>
      </c>
      <c r="B33" s="3">
        <v>0.67708333333333337</v>
      </c>
      <c r="C33" s="3">
        <v>0.69097222222222221</v>
      </c>
      <c r="D33" s="19" t="str">
        <f>+IF(Tabla1[[#This Row],[Hora inicio]]&lt;$B$1,"Mañana","Tarde")</f>
        <v>Tarde</v>
      </c>
      <c r="E33" t="s">
        <v>134</v>
      </c>
      <c r="F33" s="19">
        <f>IF(Tabla1[[#This Row],[P/LC/CF/CL]]="P",Tabla1[[#This Row],[Hora fin ]]-Tabla1[[#This Row],[Hora inicio]],"")</f>
        <v>1.388888888888884E-2</v>
      </c>
      <c r="G33" s="19">
        <f>Tabla1[[#This Row],[Hora fin ]]-Tabla1[[#This Row],[Hora inicio]]</f>
        <v>1.388888888888884E-2</v>
      </c>
      <c r="H33" s="16">
        <f>WEEKNUM(Tabla1[[#This Row],[Día]])</f>
        <v>10</v>
      </c>
      <c r="I33">
        <v>192</v>
      </c>
      <c r="J33" s="16">
        <f>IFERROR(((HOUR(Tabla1[[#This Row],[Tiempo producción]])*60+MINUTE(Tabla1[[#This Row],[Tiempo producción]]))/60)*$J$1,"")</f>
        <v>600</v>
      </c>
      <c r="K33" s="21">
        <f>IFERROR(Tabla1[[#This Row],[Cantidad producida]]/Tabla1[[#This Row],[Cantidad teórica]],"")</f>
        <v>0.32</v>
      </c>
      <c r="L33" s="3"/>
      <c r="M33" s="23" t="str">
        <f>IF(Tabla1[[#This Row],[P/LC/CF/CL]]&lt;&gt;"P",Tabla1[[#This Row],[Hora fin ]]-Tabla1[[#This Row],[Hora inicio]],"")</f>
        <v/>
      </c>
      <c r="N33" t="str">
        <f>IF(Tabla1[[#This Row],[Cantidad producida]]&gt;Tabla1[[#This Row],[Cantidad teórica]],"SI","")</f>
        <v/>
      </c>
    </row>
    <row r="34" spans="1:14" x14ac:dyDescent="0.25">
      <c r="A34" s="20">
        <v>45719</v>
      </c>
      <c r="B34" s="3">
        <v>0.71527777777777779</v>
      </c>
      <c r="C34" s="3">
        <v>0.74652777777777779</v>
      </c>
      <c r="D34" s="19" t="str">
        <f>+IF(Tabla1[[#This Row],[Hora inicio]]&lt;$B$1,"Mañana","Tarde")</f>
        <v>Tarde</v>
      </c>
      <c r="E34" t="s">
        <v>134</v>
      </c>
      <c r="F34" s="19">
        <f>IF(Tabla1[[#This Row],[P/LC/CF/CL]]="P",Tabla1[[#This Row],[Hora fin ]]-Tabla1[[#This Row],[Hora inicio]],"")</f>
        <v>3.125E-2</v>
      </c>
      <c r="G34" s="19">
        <f>Tabla1[[#This Row],[Hora fin ]]-Tabla1[[#This Row],[Hora inicio]]</f>
        <v>3.125E-2</v>
      </c>
      <c r="H34" s="16">
        <f>WEEKNUM(Tabla1[[#This Row],[Día]])</f>
        <v>10</v>
      </c>
      <c r="I34">
        <v>731</v>
      </c>
      <c r="J34" s="16">
        <f>IFERROR(((HOUR(Tabla1[[#This Row],[Tiempo producción]])*60+MINUTE(Tabla1[[#This Row],[Tiempo producción]]))/60)*$J$1,"")</f>
        <v>1350</v>
      </c>
      <c r="K34" s="21">
        <f>IFERROR(Tabla1[[#This Row],[Cantidad producida]]/Tabla1[[#This Row],[Cantidad teórica]],"")</f>
        <v>0.54148148148148145</v>
      </c>
      <c r="L34" s="3"/>
      <c r="M34" s="23" t="str">
        <f>IF(Tabla1[[#This Row],[P/LC/CF/CL]]&lt;&gt;"P",Tabla1[[#This Row],[Hora fin ]]-Tabla1[[#This Row],[Hora inicio]],"")</f>
        <v/>
      </c>
      <c r="N34" t="str">
        <f>IF(Tabla1[[#This Row],[Cantidad producida]]&gt;Tabla1[[#This Row],[Cantidad teórica]],"SI","")</f>
        <v/>
      </c>
    </row>
    <row r="35" spans="1:14" x14ac:dyDescent="0.25">
      <c r="A35" s="20">
        <v>45719</v>
      </c>
      <c r="B35" s="3">
        <v>0.8125</v>
      </c>
      <c r="C35" s="3">
        <v>0.90625</v>
      </c>
      <c r="D35" s="19" t="str">
        <f>+IF(Tabla1[[#This Row],[Hora inicio]]&lt;$B$1,"Mañana","Tarde")</f>
        <v>Tarde</v>
      </c>
      <c r="E35" t="s">
        <v>134</v>
      </c>
      <c r="F35" s="19">
        <f>IF(Tabla1[[#This Row],[P/LC/CF/CL]]="P",Tabla1[[#This Row],[Hora fin ]]-Tabla1[[#This Row],[Hora inicio]],"")</f>
        <v>9.375E-2</v>
      </c>
      <c r="G35" s="19">
        <f>Tabla1[[#This Row],[Hora fin ]]-Tabla1[[#This Row],[Hora inicio]]</f>
        <v>9.375E-2</v>
      </c>
      <c r="H35" s="16">
        <f>WEEKNUM(Tabla1[[#This Row],[Día]])</f>
        <v>10</v>
      </c>
      <c r="I35">
        <v>1506</v>
      </c>
      <c r="J35" s="16">
        <f>IFERROR(((HOUR(Tabla1[[#This Row],[Tiempo producción]])*60+MINUTE(Tabla1[[#This Row],[Tiempo producción]]))/60)*$J$1,"")</f>
        <v>4050</v>
      </c>
      <c r="K35" s="21">
        <f>IFERROR(Tabla1[[#This Row],[Cantidad producida]]/Tabla1[[#This Row],[Cantidad teórica]],"")</f>
        <v>0.37185185185185188</v>
      </c>
      <c r="L35" s="3"/>
      <c r="M35" s="23" t="str">
        <f>IF(Tabla1[[#This Row],[P/LC/CF/CL]]&lt;&gt;"P",Tabla1[[#This Row],[Hora fin ]]-Tabla1[[#This Row],[Hora inicio]],"")</f>
        <v/>
      </c>
      <c r="N35" t="str">
        <f>IF(Tabla1[[#This Row],[Cantidad producida]]&gt;Tabla1[[#This Row],[Cantidad teórica]],"SI","")</f>
        <v/>
      </c>
    </row>
    <row r="36" spans="1:14" x14ac:dyDescent="0.25">
      <c r="A36" s="20">
        <v>45720</v>
      </c>
      <c r="B36" s="3">
        <v>0.25694444444444442</v>
      </c>
      <c r="C36" s="3">
        <v>0.3125</v>
      </c>
      <c r="D36" s="19" t="str">
        <f>+IF(Tabla1[[#This Row],[Hora inicio]]&lt;$B$1,"Mañana","Tarde")</f>
        <v>Mañana</v>
      </c>
      <c r="E36" t="s">
        <v>134</v>
      </c>
      <c r="F36" s="19">
        <f>IF(Tabla1[[#This Row],[P/LC/CF/CL]]="P",Tabla1[[#This Row],[Hora fin ]]-Tabla1[[#This Row],[Hora inicio]],"")</f>
        <v>5.555555555555558E-2</v>
      </c>
      <c r="G36" s="19">
        <f>Tabla1[[#This Row],[Hora fin ]]-Tabla1[[#This Row],[Hora inicio]]</f>
        <v>5.555555555555558E-2</v>
      </c>
      <c r="H36" s="16">
        <f>WEEKNUM(Tabla1[[#This Row],[Día]])</f>
        <v>10</v>
      </c>
      <c r="I36">
        <v>1332</v>
      </c>
      <c r="J36" s="16">
        <f>IFERROR(((HOUR(Tabla1[[#This Row],[Tiempo producción]])*60+MINUTE(Tabla1[[#This Row],[Tiempo producción]]))/60)*$J$1,"")</f>
        <v>2400</v>
      </c>
      <c r="K36" s="21">
        <f>IFERROR(Tabla1[[#This Row],[Cantidad producida]]/Tabla1[[#This Row],[Cantidad teórica]],"")</f>
        <v>0.55500000000000005</v>
      </c>
      <c r="L36" s="3"/>
      <c r="M36" s="23" t="str">
        <f>IF(Tabla1[[#This Row],[P/LC/CF/CL]]&lt;&gt;"P",Tabla1[[#This Row],[Hora fin ]]-Tabla1[[#This Row],[Hora inicio]],"")</f>
        <v/>
      </c>
      <c r="N36" t="str">
        <f>IF(Tabla1[[#This Row],[Cantidad producida]]&gt;Tabla1[[#This Row],[Cantidad teórica]],"SI","")</f>
        <v/>
      </c>
    </row>
    <row r="37" spans="1:14" x14ac:dyDescent="0.25">
      <c r="A37" s="20">
        <v>45720</v>
      </c>
      <c r="B37" s="3">
        <v>0.35069444444444442</v>
      </c>
      <c r="C37" s="3">
        <v>0.43055555555555558</v>
      </c>
      <c r="D37" s="19" t="str">
        <f>+IF(Tabla1[[#This Row],[Hora inicio]]&lt;$B$1,"Mañana","Tarde")</f>
        <v>Mañana</v>
      </c>
      <c r="E37" t="s">
        <v>134</v>
      </c>
      <c r="F37" s="19">
        <f>IF(Tabla1[[#This Row],[P/LC/CF/CL]]="P",Tabla1[[#This Row],[Hora fin ]]-Tabla1[[#This Row],[Hora inicio]],"")</f>
        <v>7.986111111111116E-2</v>
      </c>
      <c r="G37" s="19">
        <f>Tabla1[[#This Row],[Hora fin ]]-Tabla1[[#This Row],[Hora inicio]]</f>
        <v>7.986111111111116E-2</v>
      </c>
      <c r="H37" s="16">
        <f>WEEKNUM(Tabla1[[#This Row],[Día]])</f>
        <v>10</v>
      </c>
      <c r="I37">
        <v>1002</v>
      </c>
      <c r="J37" s="16">
        <f>IFERROR(((HOUR(Tabla1[[#This Row],[Tiempo producción]])*60+MINUTE(Tabla1[[#This Row],[Tiempo producción]]))/60)*$J$1,"")</f>
        <v>3450</v>
      </c>
      <c r="K37" s="21">
        <f>IFERROR(Tabla1[[#This Row],[Cantidad producida]]/Tabla1[[#This Row],[Cantidad teórica]],"")</f>
        <v>0.29043478260869565</v>
      </c>
      <c r="L37" s="3"/>
      <c r="M37" s="23" t="str">
        <f>IF(Tabla1[[#This Row],[P/LC/CF/CL]]&lt;&gt;"P",Tabla1[[#This Row],[Hora fin ]]-Tabla1[[#This Row],[Hora inicio]],"")</f>
        <v/>
      </c>
      <c r="N37" t="str">
        <f>IF(Tabla1[[#This Row],[Cantidad producida]]&gt;Tabla1[[#This Row],[Cantidad teórica]],"SI","")</f>
        <v/>
      </c>
    </row>
    <row r="38" spans="1:14" x14ac:dyDescent="0.25">
      <c r="A38" s="20">
        <v>45720</v>
      </c>
      <c r="B38" s="3">
        <v>0.52083333333333337</v>
      </c>
      <c r="C38" s="3">
        <v>0.57291666666666663</v>
      </c>
      <c r="D38" s="19" t="str">
        <f>+IF(Tabla1[[#This Row],[Hora inicio]]&lt;$B$1,"Mañana","Tarde")</f>
        <v>Mañana</v>
      </c>
      <c r="E38" t="s">
        <v>134</v>
      </c>
      <c r="F38" s="19">
        <f>IF(Tabla1[[#This Row],[P/LC/CF/CL]]="P",Tabla1[[#This Row],[Hora fin ]]-Tabla1[[#This Row],[Hora inicio]],"")</f>
        <v>5.2083333333333259E-2</v>
      </c>
      <c r="G38" s="19">
        <f>Tabla1[[#This Row],[Hora fin ]]-Tabla1[[#This Row],[Hora inicio]]</f>
        <v>5.2083333333333259E-2</v>
      </c>
      <c r="H38" s="16">
        <f>WEEKNUM(Tabla1[[#This Row],[Día]])</f>
        <v>10</v>
      </c>
      <c r="I38">
        <v>336</v>
      </c>
      <c r="J38" s="16">
        <f>IFERROR(((HOUR(Tabla1[[#This Row],[Tiempo producción]])*60+MINUTE(Tabla1[[#This Row],[Tiempo producción]]))/60)*$J$1,"")</f>
        <v>2250</v>
      </c>
      <c r="K38" s="21">
        <f>IFERROR(Tabla1[[#This Row],[Cantidad producida]]/Tabla1[[#This Row],[Cantidad teórica]],"")</f>
        <v>0.14933333333333335</v>
      </c>
      <c r="L38" s="3"/>
      <c r="M38" s="23" t="str">
        <f>IF(Tabla1[[#This Row],[P/LC/CF/CL]]&lt;&gt;"P",Tabla1[[#This Row],[Hora fin ]]-Tabla1[[#This Row],[Hora inicio]],"")</f>
        <v/>
      </c>
      <c r="N38" t="str">
        <f>IF(Tabla1[[#This Row],[Cantidad producida]]&gt;Tabla1[[#This Row],[Cantidad teórica]],"SI","")</f>
        <v/>
      </c>
    </row>
    <row r="39" spans="1:14" x14ac:dyDescent="0.25">
      <c r="A39" s="20">
        <v>45721</v>
      </c>
      <c r="B39" s="3">
        <v>0.25694444444444442</v>
      </c>
      <c r="C39" s="3">
        <v>0.375</v>
      </c>
      <c r="D39" s="19" t="str">
        <f>+IF(Tabla1[[#This Row],[Hora inicio]]&lt;$B$1,"Mañana","Tarde")</f>
        <v>Mañana</v>
      </c>
      <c r="E39" t="s">
        <v>134</v>
      </c>
      <c r="F39" s="19">
        <f>IF(Tabla1[[#This Row],[P/LC/CF/CL]]="P",Tabla1[[#This Row],[Hora fin ]]-Tabla1[[#This Row],[Hora inicio]],"")</f>
        <v>0.11805555555555558</v>
      </c>
      <c r="G39" s="19">
        <f>Tabla1[[#This Row],[Hora fin ]]-Tabla1[[#This Row],[Hora inicio]]</f>
        <v>0.11805555555555558</v>
      </c>
      <c r="H39" s="16">
        <f>WEEKNUM(Tabla1[[#This Row],[Día]])</f>
        <v>10</v>
      </c>
      <c r="I39">
        <v>720</v>
      </c>
      <c r="J39" s="16">
        <f>IFERROR(((HOUR(Tabla1[[#This Row],[Tiempo producción]])*60+MINUTE(Tabla1[[#This Row],[Tiempo producción]]))/60)*$J$1,"")</f>
        <v>5100</v>
      </c>
      <c r="K39" s="21">
        <f>IFERROR(Tabla1[[#This Row],[Cantidad producida]]/Tabla1[[#This Row],[Cantidad teórica]],"")</f>
        <v>0.14117647058823529</v>
      </c>
      <c r="L39" s="3"/>
      <c r="M39" s="23" t="str">
        <f>IF(Tabla1[[#This Row],[P/LC/CF/CL]]&lt;&gt;"P",Tabla1[[#This Row],[Hora fin ]]-Tabla1[[#This Row],[Hora inicio]],"")</f>
        <v/>
      </c>
      <c r="N39" t="str">
        <f>IF(Tabla1[[#This Row],[Cantidad producida]]&gt;Tabla1[[#This Row],[Cantidad teórica]],"SI","")</f>
        <v/>
      </c>
    </row>
    <row r="40" spans="1:14" x14ac:dyDescent="0.25">
      <c r="A40" s="20">
        <v>45721</v>
      </c>
      <c r="B40" s="3">
        <v>0.55208333333333337</v>
      </c>
      <c r="C40" s="3">
        <v>0.58333333333333337</v>
      </c>
      <c r="D40" s="19" t="str">
        <f>+IF(Tabla1[[#This Row],[Hora inicio]]&lt;$B$1,"Mañana","Tarde")</f>
        <v>Mañana</v>
      </c>
      <c r="E40" t="s">
        <v>134</v>
      </c>
      <c r="F40" s="19">
        <f>IF(Tabla1[[#This Row],[P/LC/CF/CL]]="P",Tabla1[[#This Row],[Hora fin ]]-Tabla1[[#This Row],[Hora inicio]],"")</f>
        <v>3.125E-2</v>
      </c>
      <c r="G40" s="19">
        <f>Tabla1[[#This Row],[Hora fin ]]-Tabla1[[#This Row],[Hora inicio]]</f>
        <v>3.125E-2</v>
      </c>
      <c r="H40" s="16">
        <f>WEEKNUM(Tabla1[[#This Row],[Día]])</f>
        <v>10</v>
      </c>
      <c r="I40">
        <v>633</v>
      </c>
      <c r="J40" s="16">
        <f>IFERROR(((HOUR(Tabla1[[#This Row],[Tiempo producción]])*60+MINUTE(Tabla1[[#This Row],[Tiempo producción]]))/60)*$J$1,"")</f>
        <v>1350</v>
      </c>
      <c r="K40" s="21">
        <f>IFERROR(Tabla1[[#This Row],[Cantidad producida]]/Tabla1[[#This Row],[Cantidad teórica]],"")</f>
        <v>0.46888888888888891</v>
      </c>
      <c r="L40" s="3"/>
      <c r="M40" s="23" t="str">
        <f>IF(Tabla1[[#This Row],[P/LC/CF/CL]]&lt;&gt;"P",Tabla1[[#This Row],[Hora fin ]]-Tabla1[[#This Row],[Hora inicio]],"")</f>
        <v/>
      </c>
      <c r="N40" t="str">
        <f>IF(Tabla1[[#This Row],[Cantidad producida]]&gt;Tabla1[[#This Row],[Cantidad teórica]],"SI","")</f>
        <v/>
      </c>
    </row>
    <row r="41" spans="1:14" x14ac:dyDescent="0.25">
      <c r="A41" s="20">
        <v>45722</v>
      </c>
      <c r="B41" s="3">
        <v>0.72916666666666663</v>
      </c>
      <c r="C41" s="3">
        <v>0.75</v>
      </c>
      <c r="D41" s="19" t="str">
        <f>+IF(Tabla1[[#This Row],[Hora inicio]]&lt;$B$1,"Mañana","Tarde")</f>
        <v>Tarde</v>
      </c>
      <c r="E41" t="s">
        <v>134</v>
      </c>
      <c r="F41" s="19">
        <f>IF(Tabla1[[#This Row],[P/LC/CF/CL]]="P",Tabla1[[#This Row],[Hora fin ]]-Tabla1[[#This Row],[Hora inicio]],"")</f>
        <v>2.083333333333337E-2</v>
      </c>
      <c r="G41" s="19">
        <f>Tabla1[[#This Row],[Hora fin ]]-Tabla1[[#This Row],[Hora inicio]]</f>
        <v>2.083333333333337E-2</v>
      </c>
      <c r="H41" s="16">
        <f>WEEKNUM(Tabla1[[#This Row],[Día]])</f>
        <v>10</v>
      </c>
      <c r="I41">
        <v>378</v>
      </c>
      <c r="J41" s="16">
        <f>IFERROR(((HOUR(Tabla1[[#This Row],[Tiempo producción]])*60+MINUTE(Tabla1[[#This Row],[Tiempo producción]]))/60)*$J$1,"")</f>
        <v>900</v>
      </c>
      <c r="K41" s="21">
        <f>IFERROR(Tabla1[[#This Row],[Cantidad producida]]/Tabla1[[#This Row],[Cantidad teórica]],"")</f>
        <v>0.42</v>
      </c>
      <c r="L41" s="3"/>
      <c r="M41" s="23" t="str">
        <f>IF(Tabla1[[#This Row],[P/LC/CF/CL]]&lt;&gt;"P",Tabla1[[#This Row],[Hora fin ]]-Tabla1[[#This Row],[Hora inicio]],"")</f>
        <v/>
      </c>
      <c r="N41" t="str">
        <f>IF(Tabla1[[#This Row],[Cantidad producida]]&gt;Tabla1[[#This Row],[Cantidad teórica]],"SI","")</f>
        <v/>
      </c>
    </row>
    <row r="42" spans="1:14" x14ac:dyDescent="0.25">
      <c r="A42" s="20">
        <v>45722</v>
      </c>
      <c r="B42" s="3">
        <v>0.76388888888888884</v>
      </c>
      <c r="C42" s="3">
        <v>0.89583333333333337</v>
      </c>
      <c r="D42" s="19" t="str">
        <f>+IF(Tabla1[[#This Row],[Hora inicio]]&lt;$B$1,"Mañana","Tarde")</f>
        <v>Tarde</v>
      </c>
      <c r="E42" t="s">
        <v>134</v>
      </c>
      <c r="F42" s="19">
        <f>IF(Tabla1[[#This Row],[P/LC/CF/CL]]="P",Tabla1[[#This Row],[Hora fin ]]-Tabla1[[#This Row],[Hora inicio]],"")</f>
        <v>0.13194444444444453</v>
      </c>
      <c r="G42" s="19">
        <f>Tabla1[[#This Row],[Hora fin ]]-Tabla1[[#This Row],[Hora inicio]]</f>
        <v>0.13194444444444453</v>
      </c>
      <c r="H42" s="16">
        <f>WEEKNUM(Tabla1[[#This Row],[Día]])</f>
        <v>10</v>
      </c>
      <c r="I42">
        <v>2862</v>
      </c>
      <c r="J42" s="16">
        <f>IFERROR(((HOUR(Tabla1[[#This Row],[Tiempo producción]])*60+MINUTE(Tabla1[[#This Row],[Tiempo producción]]))/60)*$J$1,"")</f>
        <v>5700</v>
      </c>
      <c r="K42" s="21">
        <f>IFERROR(Tabla1[[#This Row],[Cantidad producida]]/Tabla1[[#This Row],[Cantidad teórica]],"")</f>
        <v>0.50210526315789472</v>
      </c>
      <c r="L42" s="3"/>
      <c r="M42" s="23" t="str">
        <f>IF(Tabla1[[#This Row],[P/LC/CF/CL]]&lt;&gt;"P",Tabla1[[#This Row],[Hora fin ]]-Tabla1[[#This Row],[Hora inicio]],"")</f>
        <v/>
      </c>
      <c r="N42" t="str">
        <f>IF(Tabla1[[#This Row],[Cantidad producida]]&gt;Tabla1[[#This Row],[Cantidad teórica]],"SI","")</f>
        <v/>
      </c>
    </row>
    <row r="43" spans="1:14" x14ac:dyDescent="0.25">
      <c r="A43" s="20">
        <v>45723</v>
      </c>
      <c r="B43" s="3">
        <v>0.27083333333333331</v>
      </c>
      <c r="C43" s="3">
        <v>0.58333333333333337</v>
      </c>
      <c r="D43" s="19" t="str">
        <f>+IF(Tabla1[[#This Row],[Hora inicio]]&lt;$B$1,"Mañana","Tarde")</f>
        <v>Mañana</v>
      </c>
      <c r="E43" t="s">
        <v>134</v>
      </c>
      <c r="F43" s="19">
        <f>IF(Tabla1[[#This Row],[P/LC/CF/CL]]="P",Tabla1[[#This Row],[Hora fin ]]-Tabla1[[#This Row],[Hora inicio]],"")</f>
        <v>0.31250000000000006</v>
      </c>
      <c r="G43" s="19">
        <f>Tabla1[[#This Row],[Hora fin ]]-Tabla1[[#This Row],[Hora inicio]]</f>
        <v>0.31250000000000006</v>
      </c>
      <c r="H43" s="16">
        <f>WEEKNUM(Tabla1[[#This Row],[Día]])</f>
        <v>10</v>
      </c>
      <c r="I43">
        <v>7560</v>
      </c>
      <c r="J43" s="16">
        <f>IFERROR(((HOUR(Tabla1[[#This Row],[Tiempo producción]])*60+MINUTE(Tabla1[[#This Row],[Tiempo producción]]))/60)*$J$1,"")</f>
        <v>13500</v>
      </c>
      <c r="K43" s="21">
        <f>IFERROR(Tabla1[[#This Row],[Cantidad producida]]/Tabla1[[#This Row],[Cantidad teórica]],"")</f>
        <v>0.56000000000000005</v>
      </c>
      <c r="L43" s="3"/>
      <c r="M43" s="23" t="str">
        <f>IF(Tabla1[[#This Row],[P/LC/CF/CL]]&lt;&gt;"P",Tabla1[[#This Row],[Hora fin ]]-Tabla1[[#This Row],[Hora inicio]],"")</f>
        <v/>
      </c>
      <c r="N43" t="str">
        <f>IF(Tabla1[[#This Row],[Cantidad producida]]&gt;Tabla1[[#This Row],[Cantidad teórica]],"SI","")</f>
        <v/>
      </c>
    </row>
    <row r="44" spans="1:14" x14ac:dyDescent="0.25">
      <c r="A44" s="20">
        <v>45723</v>
      </c>
      <c r="B44" s="3">
        <v>0.60416666666666663</v>
      </c>
      <c r="C44" s="3">
        <v>0.89583333333333337</v>
      </c>
      <c r="D44" s="19" t="str">
        <f>+IF(Tabla1[[#This Row],[Hora inicio]]&lt;$B$1,"Mañana","Tarde")</f>
        <v>Tarde</v>
      </c>
      <c r="E44" t="s">
        <v>134</v>
      </c>
      <c r="F44" s="19">
        <f>IF(Tabla1[[#This Row],[P/LC/CF/CL]]="P",Tabla1[[#This Row],[Hora fin ]]-Tabla1[[#This Row],[Hora inicio]],"")</f>
        <v>0.29166666666666674</v>
      </c>
      <c r="G44" s="19">
        <f>Tabla1[[#This Row],[Hora fin ]]-Tabla1[[#This Row],[Hora inicio]]</f>
        <v>0.29166666666666674</v>
      </c>
      <c r="H44" s="16">
        <f>WEEKNUM(Tabla1[[#This Row],[Día]])</f>
        <v>10</v>
      </c>
      <c r="I44">
        <v>9744</v>
      </c>
      <c r="J44" s="16">
        <f>IFERROR(((HOUR(Tabla1[[#This Row],[Tiempo producción]])*60+MINUTE(Tabla1[[#This Row],[Tiempo producción]]))/60)*$J$1,"")</f>
        <v>12600</v>
      </c>
      <c r="K44" s="21">
        <f>IFERROR(Tabla1[[#This Row],[Cantidad producida]]/Tabla1[[#This Row],[Cantidad teórica]],"")</f>
        <v>0.77333333333333332</v>
      </c>
      <c r="L44" s="3"/>
      <c r="M44" s="23" t="str">
        <f>IF(Tabla1[[#This Row],[P/LC/CF/CL]]&lt;&gt;"P",Tabla1[[#This Row],[Hora fin ]]-Tabla1[[#This Row],[Hora inicio]],"")</f>
        <v/>
      </c>
      <c r="N44" t="str">
        <f>IF(Tabla1[[#This Row],[Cantidad producida]]&gt;Tabla1[[#This Row],[Cantidad teórica]],"SI","")</f>
        <v/>
      </c>
    </row>
    <row r="45" spans="1:14" x14ac:dyDescent="0.25">
      <c r="A45" s="20">
        <v>45726</v>
      </c>
      <c r="B45" s="3">
        <v>0.26041666666666669</v>
      </c>
      <c r="C45" s="3">
        <v>0.41666666666666669</v>
      </c>
      <c r="D45" s="19" t="str">
        <f>+IF(Tabla1[[#This Row],[Hora inicio]]&lt;$B$1,"Mañana","Tarde")</f>
        <v>Mañana</v>
      </c>
      <c r="E45" t="s">
        <v>134</v>
      </c>
      <c r="F45" s="19">
        <f>IF(Tabla1[[#This Row],[P/LC/CF/CL]]="P",Tabla1[[#This Row],[Hora fin ]]-Tabla1[[#This Row],[Hora inicio]],"")</f>
        <v>0.15625</v>
      </c>
      <c r="G45" s="19">
        <f>Tabla1[[#This Row],[Hora fin ]]-Tabla1[[#This Row],[Hora inicio]]</f>
        <v>0.15625</v>
      </c>
      <c r="H45" s="16">
        <f>WEEKNUM(Tabla1[[#This Row],[Día]])</f>
        <v>11</v>
      </c>
      <c r="I45">
        <v>2982</v>
      </c>
      <c r="J45" s="16">
        <f>IFERROR(((HOUR(Tabla1[[#This Row],[Tiempo producción]])*60+MINUTE(Tabla1[[#This Row],[Tiempo producción]]))/60)*$J$1,"")</f>
        <v>6750</v>
      </c>
      <c r="K45" s="21">
        <f>IFERROR(Tabla1[[#This Row],[Cantidad producida]]/Tabla1[[#This Row],[Cantidad teórica]],"")</f>
        <v>0.44177777777777777</v>
      </c>
      <c r="L45" s="3"/>
      <c r="M45" s="23" t="str">
        <f>IF(Tabla1[[#This Row],[P/LC/CF/CL]]&lt;&gt;"P",Tabla1[[#This Row],[Hora fin ]]-Tabla1[[#This Row],[Hora inicio]],"")</f>
        <v/>
      </c>
      <c r="N45" t="str">
        <f>IF(Tabla1[[#This Row],[Cantidad producida]]&gt;Tabla1[[#This Row],[Cantidad teórica]],"SI","")</f>
        <v/>
      </c>
    </row>
    <row r="46" spans="1:14" x14ac:dyDescent="0.25">
      <c r="A46" s="20">
        <v>45726</v>
      </c>
      <c r="B46" s="3">
        <v>0.41666666666666669</v>
      </c>
      <c r="C46" s="3">
        <v>0.58333333333333337</v>
      </c>
      <c r="D46" s="19" t="str">
        <f>+IF(Tabla1[[#This Row],[Hora inicio]]&lt;$B$1,"Mañana","Tarde")</f>
        <v>Mañana</v>
      </c>
      <c r="E46" t="s">
        <v>134</v>
      </c>
      <c r="F46" s="19">
        <f>IF(Tabla1[[#This Row],[P/LC/CF/CL]]="P",Tabla1[[#This Row],[Hora fin ]]-Tabla1[[#This Row],[Hora inicio]],"")</f>
        <v>0.16666666666666669</v>
      </c>
      <c r="G46" s="19">
        <f>Tabla1[[#This Row],[Hora fin ]]-Tabla1[[#This Row],[Hora inicio]]</f>
        <v>0.16666666666666669</v>
      </c>
      <c r="H46" s="16">
        <f>WEEKNUM(Tabla1[[#This Row],[Día]])</f>
        <v>11</v>
      </c>
      <c r="I46">
        <v>3180</v>
      </c>
      <c r="J46" s="16">
        <f>IFERROR(((HOUR(Tabla1[[#This Row],[Tiempo producción]])*60+MINUTE(Tabla1[[#This Row],[Tiempo producción]]))/60)*$J$1,"")</f>
        <v>7200</v>
      </c>
      <c r="K46" s="21">
        <f>IFERROR(Tabla1[[#This Row],[Cantidad producida]]/Tabla1[[#This Row],[Cantidad teórica]],"")</f>
        <v>0.44166666666666665</v>
      </c>
      <c r="L46" s="3"/>
      <c r="M46" s="23" t="str">
        <f>IF(Tabla1[[#This Row],[P/LC/CF/CL]]&lt;&gt;"P",Tabla1[[#This Row],[Hora fin ]]-Tabla1[[#This Row],[Hora inicio]],"")</f>
        <v/>
      </c>
      <c r="N46" t="str">
        <f>IF(Tabla1[[#This Row],[Cantidad producida]]&gt;Tabla1[[#This Row],[Cantidad teórica]],"SI","")</f>
        <v/>
      </c>
    </row>
    <row r="47" spans="1:14" x14ac:dyDescent="0.25">
      <c r="A47" s="20">
        <v>45726</v>
      </c>
      <c r="B47" s="3">
        <v>0.60416666666666663</v>
      </c>
      <c r="C47" s="3">
        <v>0.67013888888888884</v>
      </c>
      <c r="D47" s="19" t="str">
        <f>+IF(Tabla1[[#This Row],[Hora inicio]]&lt;$B$1,"Mañana","Tarde")</f>
        <v>Tarde</v>
      </c>
      <c r="E47" t="s">
        <v>134</v>
      </c>
      <c r="F47" s="19">
        <f>IF(Tabla1[[#This Row],[P/LC/CF/CL]]="P",Tabla1[[#This Row],[Hora fin ]]-Tabla1[[#This Row],[Hora inicio]],"")</f>
        <v>6.597222222222221E-2</v>
      </c>
      <c r="G47" s="19">
        <f>Tabla1[[#This Row],[Hora fin ]]-Tabla1[[#This Row],[Hora inicio]]</f>
        <v>6.597222222222221E-2</v>
      </c>
      <c r="H47" s="16">
        <f>WEEKNUM(Tabla1[[#This Row],[Día]])</f>
        <v>11</v>
      </c>
      <c r="I47">
        <v>1818</v>
      </c>
      <c r="J47" s="16">
        <f>IFERROR(((HOUR(Tabla1[[#This Row],[Tiempo producción]])*60+MINUTE(Tabla1[[#This Row],[Tiempo producción]]))/60)*$J$1,"")</f>
        <v>2850</v>
      </c>
      <c r="K47" s="21">
        <f>IFERROR(Tabla1[[#This Row],[Cantidad producida]]/Tabla1[[#This Row],[Cantidad teórica]],"")</f>
        <v>0.63789473684210529</v>
      </c>
      <c r="L47" s="3"/>
      <c r="M47" s="23" t="str">
        <f>IF(Tabla1[[#This Row],[P/LC/CF/CL]]&lt;&gt;"P",Tabla1[[#This Row],[Hora fin ]]-Tabla1[[#This Row],[Hora inicio]],"")</f>
        <v/>
      </c>
      <c r="N47" t="str">
        <f>IF(Tabla1[[#This Row],[Cantidad producida]]&gt;Tabla1[[#This Row],[Cantidad teórica]],"SI","")</f>
        <v/>
      </c>
    </row>
    <row r="48" spans="1:14" x14ac:dyDescent="0.25">
      <c r="A48" s="20">
        <v>45726</v>
      </c>
      <c r="B48" s="3">
        <v>0.72569444444444442</v>
      </c>
      <c r="C48" s="3">
        <v>0.88888888888888884</v>
      </c>
      <c r="D48" s="19" t="str">
        <f>+IF(Tabla1[[#This Row],[Hora inicio]]&lt;$B$1,"Mañana","Tarde")</f>
        <v>Tarde</v>
      </c>
      <c r="E48" t="s">
        <v>134</v>
      </c>
      <c r="F48" s="19">
        <f>IF(Tabla1[[#This Row],[P/LC/CF/CL]]="P",Tabla1[[#This Row],[Hora fin ]]-Tabla1[[#This Row],[Hora inicio]],"")</f>
        <v>0.16319444444444442</v>
      </c>
      <c r="G48" s="19">
        <f>Tabla1[[#This Row],[Hora fin ]]-Tabla1[[#This Row],[Hora inicio]]</f>
        <v>0.16319444444444442</v>
      </c>
      <c r="H48" s="16">
        <f>WEEKNUM(Tabla1[[#This Row],[Día]])</f>
        <v>11</v>
      </c>
      <c r="I48">
        <v>4878</v>
      </c>
      <c r="J48" s="16">
        <f>IFERROR(((HOUR(Tabla1[[#This Row],[Tiempo producción]])*60+MINUTE(Tabla1[[#This Row],[Tiempo producción]]))/60)*$J$1,"")</f>
        <v>7050</v>
      </c>
      <c r="K48" s="21">
        <f>IFERROR(Tabla1[[#This Row],[Cantidad producida]]/Tabla1[[#This Row],[Cantidad teórica]],"")</f>
        <v>0.6919148936170213</v>
      </c>
      <c r="L48" s="3"/>
      <c r="M48" s="23" t="str">
        <f>IF(Tabla1[[#This Row],[P/LC/CF/CL]]&lt;&gt;"P",Tabla1[[#This Row],[Hora fin ]]-Tabla1[[#This Row],[Hora inicio]],"")</f>
        <v/>
      </c>
      <c r="N48" t="str">
        <f>IF(Tabla1[[#This Row],[Cantidad producida]]&gt;Tabla1[[#This Row],[Cantidad teórica]],"SI","")</f>
        <v/>
      </c>
    </row>
    <row r="49" spans="1:14" x14ac:dyDescent="0.25">
      <c r="A49" s="20">
        <v>45727</v>
      </c>
      <c r="B49" s="3">
        <v>0.79166666666666663</v>
      </c>
      <c r="C49" s="3">
        <v>0.89583333333333337</v>
      </c>
      <c r="D49" s="19" t="str">
        <f>+IF(Tabla1[[#This Row],[Hora inicio]]&lt;$B$1,"Mañana","Tarde")</f>
        <v>Tarde</v>
      </c>
      <c r="E49" t="s">
        <v>134</v>
      </c>
      <c r="F49" s="19">
        <f>IF(Tabla1[[#This Row],[P/LC/CF/CL]]="P",Tabla1[[#This Row],[Hora fin ]]-Tabla1[[#This Row],[Hora inicio]],"")</f>
        <v>0.10416666666666674</v>
      </c>
      <c r="G49" s="19">
        <f>Tabla1[[#This Row],[Hora fin ]]-Tabla1[[#This Row],[Hora inicio]]</f>
        <v>0.10416666666666674</v>
      </c>
      <c r="H49" s="16">
        <f>WEEKNUM(Tabla1[[#This Row],[Día]])</f>
        <v>11</v>
      </c>
      <c r="I49">
        <v>2040</v>
      </c>
      <c r="J49" s="16">
        <f>IFERROR(((HOUR(Tabla1[[#This Row],[Tiempo producción]])*60+MINUTE(Tabla1[[#This Row],[Tiempo producción]]))/60)*$J$1,"")</f>
        <v>4500</v>
      </c>
      <c r="K49" s="21">
        <f>IFERROR(Tabla1[[#This Row],[Cantidad producida]]/Tabla1[[#This Row],[Cantidad teórica]],"")</f>
        <v>0.45333333333333331</v>
      </c>
      <c r="L49" s="3"/>
      <c r="M49" s="23" t="str">
        <f>IF(Tabla1[[#This Row],[P/LC/CF/CL]]&lt;&gt;"P",Tabla1[[#This Row],[Hora fin ]]-Tabla1[[#This Row],[Hora inicio]],"")</f>
        <v/>
      </c>
      <c r="N49" t="str">
        <f>IF(Tabla1[[#This Row],[Cantidad producida]]&gt;Tabla1[[#This Row],[Cantidad teórica]],"SI","")</f>
        <v/>
      </c>
    </row>
    <row r="50" spans="1:14" x14ac:dyDescent="0.25">
      <c r="A50" s="20">
        <v>45728</v>
      </c>
      <c r="B50" s="3">
        <v>0.26041666666666669</v>
      </c>
      <c r="C50" s="3">
        <v>0.375</v>
      </c>
      <c r="D50" s="19" t="str">
        <f>+IF(Tabla1[[#This Row],[Hora inicio]]&lt;$B$1,"Mañana","Tarde")</f>
        <v>Mañana</v>
      </c>
      <c r="E50" t="s">
        <v>134</v>
      </c>
      <c r="F50" s="19">
        <f>IF(Tabla1[[#This Row],[P/LC/CF/CL]]="P",Tabla1[[#This Row],[Hora fin ]]-Tabla1[[#This Row],[Hora inicio]],"")</f>
        <v>0.11458333333333331</v>
      </c>
      <c r="G50" s="19">
        <f>Tabla1[[#This Row],[Hora fin ]]-Tabla1[[#This Row],[Hora inicio]]</f>
        <v>0.11458333333333331</v>
      </c>
      <c r="H50" s="16">
        <f>WEEKNUM(Tabla1[[#This Row],[Día]])</f>
        <v>11</v>
      </c>
      <c r="I50">
        <v>1020</v>
      </c>
      <c r="J50" s="16">
        <f>IFERROR(((HOUR(Tabla1[[#This Row],[Tiempo producción]])*60+MINUTE(Tabla1[[#This Row],[Tiempo producción]]))/60)*$J$1,"")</f>
        <v>4950</v>
      </c>
      <c r="K50" s="21">
        <f>IFERROR(Tabla1[[#This Row],[Cantidad producida]]/Tabla1[[#This Row],[Cantidad teórica]],"")</f>
        <v>0.20606060606060606</v>
      </c>
      <c r="L50" s="3"/>
      <c r="M50" s="23" t="str">
        <f>IF(Tabla1[[#This Row],[P/LC/CF/CL]]&lt;&gt;"P",Tabla1[[#This Row],[Hora fin ]]-Tabla1[[#This Row],[Hora inicio]],"")</f>
        <v/>
      </c>
      <c r="N50" t="str">
        <f>IF(Tabla1[[#This Row],[Cantidad producida]]&gt;Tabla1[[#This Row],[Cantidad teórica]],"SI","")</f>
        <v/>
      </c>
    </row>
    <row r="51" spans="1:14" x14ac:dyDescent="0.25">
      <c r="A51" s="20">
        <v>45728</v>
      </c>
      <c r="B51" s="3">
        <v>0.59375</v>
      </c>
      <c r="C51" s="3">
        <v>0.61458333333333337</v>
      </c>
      <c r="D51" s="19" t="str">
        <f>+IF(Tabla1[[#This Row],[Hora inicio]]&lt;$B$1,"Mañana","Tarde")</f>
        <v>Tarde</v>
      </c>
      <c r="E51" t="s">
        <v>134</v>
      </c>
      <c r="F51" s="19">
        <f>IF(Tabla1[[#This Row],[P/LC/CF/CL]]="P",Tabla1[[#This Row],[Hora fin ]]-Tabla1[[#This Row],[Hora inicio]],"")</f>
        <v>2.083333333333337E-2</v>
      </c>
      <c r="G51" s="19">
        <f>Tabla1[[#This Row],[Hora fin ]]-Tabla1[[#This Row],[Hora inicio]]</f>
        <v>2.083333333333337E-2</v>
      </c>
      <c r="H51" s="16">
        <f>WEEKNUM(Tabla1[[#This Row],[Día]])</f>
        <v>11</v>
      </c>
      <c r="I51">
        <v>176</v>
      </c>
      <c r="J51" s="16">
        <f>IFERROR(((HOUR(Tabla1[[#This Row],[Tiempo producción]])*60+MINUTE(Tabla1[[#This Row],[Tiempo producción]]))/60)*$J$1,"")</f>
        <v>900</v>
      </c>
      <c r="K51" s="21">
        <f>IFERROR(Tabla1[[#This Row],[Cantidad producida]]/Tabla1[[#This Row],[Cantidad teórica]],"")</f>
        <v>0.19555555555555557</v>
      </c>
      <c r="L51" s="3"/>
      <c r="M51" s="23" t="str">
        <f>IF(Tabla1[[#This Row],[P/LC/CF/CL]]&lt;&gt;"P",Tabla1[[#This Row],[Hora fin ]]-Tabla1[[#This Row],[Hora inicio]],"")</f>
        <v/>
      </c>
      <c r="N51" t="str">
        <f>IF(Tabla1[[#This Row],[Cantidad producida]]&gt;Tabla1[[#This Row],[Cantidad teórica]],"SI","")</f>
        <v/>
      </c>
    </row>
    <row r="52" spans="1:14" x14ac:dyDescent="0.25">
      <c r="A52" s="20">
        <v>45729</v>
      </c>
      <c r="B52" s="3">
        <v>0.59027777777777779</v>
      </c>
      <c r="C52" s="3">
        <v>0.89583333333333337</v>
      </c>
      <c r="D52" s="19" t="str">
        <f>+IF(Tabla1[[#This Row],[Hora inicio]]&lt;$B$1,"Mañana","Tarde")</f>
        <v>Tarde</v>
      </c>
      <c r="E52" t="s">
        <v>134</v>
      </c>
      <c r="F52" s="19">
        <f>IF(Tabla1[[#This Row],[P/LC/CF/CL]]="P",Tabla1[[#This Row],[Hora fin ]]-Tabla1[[#This Row],[Hora inicio]],"")</f>
        <v>0.30555555555555558</v>
      </c>
      <c r="G52" s="19">
        <f>Tabla1[[#This Row],[Hora fin ]]-Tabla1[[#This Row],[Hora inicio]]</f>
        <v>0.30555555555555558</v>
      </c>
      <c r="H52" s="16">
        <f>WEEKNUM(Tabla1[[#This Row],[Día]])</f>
        <v>11</v>
      </c>
      <c r="I52">
        <v>10182</v>
      </c>
      <c r="J52" s="16">
        <f>IFERROR(((HOUR(Tabla1[[#This Row],[Tiempo producción]])*60+MINUTE(Tabla1[[#This Row],[Tiempo producción]]))/60)*$J$1,"")</f>
        <v>13200</v>
      </c>
      <c r="K52" s="21">
        <f>IFERROR(Tabla1[[#This Row],[Cantidad producida]]/Tabla1[[#This Row],[Cantidad teórica]],"")</f>
        <v>0.77136363636363636</v>
      </c>
      <c r="L52" s="3"/>
      <c r="M52" s="23" t="str">
        <f>IF(Tabla1[[#This Row],[P/LC/CF/CL]]&lt;&gt;"P",Tabla1[[#This Row],[Hora fin ]]-Tabla1[[#This Row],[Hora inicio]],"")</f>
        <v/>
      </c>
      <c r="N52" t="str">
        <f>IF(Tabla1[[#This Row],[Cantidad producida]]&gt;Tabla1[[#This Row],[Cantidad teórica]],"SI","")</f>
        <v/>
      </c>
    </row>
    <row r="53" spans="1:14" x14ac:dyDescent="0.25">
      <c r="A53" s="2">
        <v>45733</v>
      </c>
      <c r="B53" s="3">
        <v>0.28125</v>
      </c>
      <c r="C53" s="3">
        <v>0.57291666666666663</v>
      </c>
      <c r="D53" s="19" t="str">
        <f>+IF(Tabla1[[#This Row],[Hora inicio]]&lt;$B$1,"Mañana","Tarde")</f>
        <v>Mañana</v>
      </c>
      <c r="E53" t="s">
        <v>134</v>
      </c>
      <c r="F53" s="19">
        <f>IF(Tabla1[[#This Row],[P/LC/CF/CL]]="P",Tabla1[[#This Row],[Hora fin ]]-Tabla1[[#This Row],[Hora inicio]],"")</f>
        <v>0.29166666666666663</v>
      </c>
      <c r="G53" s="19">
        <f>Tabla1[[#This Row],[Hora fin ]]-Tabla1[[#This Row],[Hora inicio]]</f>
        <v>0.29166666666666663</v>
      </c>
      <c r="H53" s="16">
        <f>WEEKNUM(Tabla1[[#This Row],[Día]])</f>
        <v>12</v>
      </c>
      <c r="J53" s="16">
        <f>IFERROR(((HOUR(Tabla1[[#This Row],[Tiempo producción]])*60+MINUTE(Tabla1[[#This Row],[Tiempo producción]]))/60)*$J$1,"")</f>
        <v>12600</v>
      </c>
      <c r="K53" s="21">
        <f>IFERROR(Tabla1[[#This Row],[Cantidad producida]]/Tabla1[[#This Row],[Cantidad teórica]],"")</f>
        <v>0</v>
      </c>
      <c r="L53" s="3"/>
      <c r="M53" s="23" t="str">
        <f>IF(Tabla1[[#This Row],[P/LC/CF/CL]]&lt;&gt;"P",Tabla1[[#This Row],[Hora fin ]]-Tabla1[[#This Row],[Hora inicio]],"")</f>
        <v/>
      </c>
      <c r="N53" t="str">
        <f>IF(Tabla1[[#This Row],[Cantidad producida]]&gt;Tabla1[[#This Row],[Cantidad teórica]],"SI","")</f>
        <v/>
      </c>
    </row>
    <row r="54" spans="1:14" x14ac:dyDescent="0.25">
      <c r="A54" s="2">
        <v>45733</v>
      </c>
      <c r="B54" s="3">
        <v>0.59375</v>
      </c>
      <c r="C54" s="3">
        <v>0.72222222222222221</v>
      </c>
      <c r="D54" s="19" t="str">
        <f>+IF(Tabla1[[#This Row],[Hora inicio]]&lt;$B$1,"Mañana","Tarde")</f>
        <v>Tarde</v>
      </c>
      <c r="E54" t="s">
        <v>134</v>
      </c>
      <c r="F54" s="19">
        <f>IF(Tabla1[[#This Row],[P/LC/CF/CL]]="P",Tabla1[[#This Row],[Hora fin ]]-Tabla1[[#This Row],[Hora inicio]],"")</f>
        <v>0.12847222222222221</v>
      </c>
      <c r="G54" s="19">
        <f>Tabla1[[#This Row],[Hora fin ]]-Tabla1[[#This Row],[Hora inicio]]</f>
        <v>0.12847222222222221</v>
      </c>
      <c r="H54" s="16">
        <f>WEEKNUM(Tabla1[[#This Row],[Día]])</f>
        <v>12</v>
      </c>
      <c r="J54" s="16">
        <f>IFERROR(((HOUR(Tabla1[[#This Row],[Tiempo producción]])*60+MINUTE(Tabla1[[#This Row],[Tiempo producción]]))/60)*$J$1,"")</f>
        <v>5550</v>
      </c>
      <c r="K54" s="21">
        <f>IFERROR(Tabla1[[#This Row],[Cantidad producida]]/Tabla1[[#This Row],[Cantidad teórica]],"")</f>
        <v>0</v>
      </c>
      <c r="L54" s="3"/>
      <c r="M54" s="23" t="str">
        <f>IF(Tabla1[[#This Row],[P/LC/CF/CL]]&lt;&gt;"P",Tabla1[[#This Row],[Hora fin ]]-Tabla1[[#This Row],[Hora inicio]],"")</f>
        <v/>
      </c>
      <c r="N54" t="str">
        <f>IF(Tabla1[[#This Row],[Cantidad producida]]&gt;Tabla1[[#This Row],[Cantidad teórica]],"SI","")</f>
        <v/>
      </c>
    </row>
    <row r="55" spans="1:14" x14ac:dyDescent="0.25">
      <c r="A55" s="2">
        <v>45733</v>
      </c>
      <c r="B55" s="3">
        <v>0.72222222222222221</v>
      </c>
      <c r="C55" s="3">
        <v>0.72916666666666663</v>
      </c>
      <c r="D55" s="19" t="str">
        <f>+IF(Tabla1[[#This Row],[Hora inicio]]&lt;$B$1,"Mañana","Tarde")</f>
        <v>Tarde</v>
      </c>
      <c r="E55" t="s">
        <v>124</v>
      </c>
      <c r="F55" s="19" t="str">
        <f>IF(Tabla1[[#This Row],[P/LC/CF/CL]]="P",Tabla1[[#This Row],[Hora fin ]]-Tabla1[[#This Row],[Hora inicio]],"")</f>
        <v/>
      </c>
      <c r="G55" s="19">
        <f>Tabla1[[#This Row],[Hora fin ]]-Tabla1[[#This Row],[Hora inicio]]</f>
        <v>6.9444444444444198E-3</v>
      </c>
      <c r="H55" s="16">
        <f>WEEKNUM(Tabla1[[#This Row],[Día]])</f>
        <v>12</v>
      </c>
      <c r="J55" s="16" t="str">
        <f>IFERROR(((HOUR(Tabla1[[#This Row],[Tiempo producción]])*60+MINUTE(Tabla1[[#This Row],[Tiempo producción]]))/60)*$J$1,"")</f>
        <v/>
      </c>
      <c r="K55" s="21" t="str">
        <f>IFERROR(Tabla1[[#This Row],[Cantidad producida]]/Tabla1[[#This Row],[Cantidad teórica]],"")</f>
        <v/>
      </c>
      <c r="L55" s="3"/>
      <c r="M55" s="23">
        <f>IF(Tabla1[[#This Row],[P/LC/CF/CL]]&lt;&gt;"P",Tabla1[[#This Row],[Hora fin ]]-Tabla1[[#This Row],[Hora inicio]],"")</f>
        <v>6.9444444444444198E-3</v>
      </c>
      <c r="N55" t="str">
        <f>IF(Tabla1[[#This Row],[Cantidad producida]]&gt;Tabla1[[#This Row],[Cantidad teórica]],"SI","")</f>
        <v/>
      </c>
    </row>
    <row r="56" spans="1:14" x14ac:dyDescent="0.25">
      <c r="A56" s="2">
        <v>45733</v>
      </c>
      <c r="B56" s="3">
        <v>0.72916666666666663</v>
      </c>
      <c r="C56" s="3">
        <v>0.91666666666666663</v>
      </c>
      <c r="D56" s="19" t="str">
        <f>+IF(Tabla1[[#This Row],[Hora inicio]]&lt;$B$1,"Mañana","Tarde")</f>
        <v>Tarde</v>
      </c>
      <c r="E56" t="s">
        <v>134</v>
      </c>
      <c r="F56" s="19">
        <f>IF(Tabla1[[#This Row],[P/LC/CF/CL]]="P",Tabla1[[#This Row],[Hora fin ]]-Tabla1[[#This Row],[Hora inicio]],"")</f>
        <v>0.1875</v>
      </c>
      <c r="G56" s="19">
        <f>Tabla1[[#This Row],[Hora fin ]]-Tabla1[[#This Row],[Hora inicio]]</f>
        <v>0.1875</v>
      </c>
      <c r="H56" s="16">
        <f>WEEKNUM(Tabla1[[#This Row],[Día]])</f>
        <v>12</v>
      </c>
      <c r="J56" s="16">
        <f>IFERROR(((HOUR(Tabla1[[#This Row],[Tiempo producción]])*60+MINUTE(Tabla1[[#This Row],[Tiempo producción]]))/60)*$J$1,"")</f>
        <v>8100</v>
      </c>
      <c r="K56" s="21">
        <f>IFERROR(Tabla1[[#This Row],[Cantidad producida]]/Tabla1[[#This Row],[Cantidad teórica]],"")</f>
        <v>0</v>
      </c>
      <c r="L56" s="3"/>
      <c r="M56" s="23" t="str">
        <f>IF(Tabla1[[#This Row],[P/LC/CF/CL]]&lt;&gt;"P",Tabla1[[#This Row],[Hora fin ]]-Tabla1[[#This Row],[Hora inicio]],"")</f>
        <v/>
      </c>
      <c r="N56" t="str">
        <f>IF(Tabla1[[#This Row],[Cantidad producida]]&gt;Tabla1[[#This Row],[Cantidad teórica]],"SI","")</f>
        <v/>
      </c>
    </row>
    <row r="57" spans="1:14" x14ac:dyDescent="0.25">
      <c r="A57" s="2">
        <v>45734</v>
      </c>
      <c r="B57" s="3">
        <v>0.26041666666666669</v>
      </c>
      <c r="C57" s="3">
        <v>0.39583333333333331</v>
      </c>
      <c r="D57" s="19" t="str">
        <f>+IF(Tabla1[[#This Row],[Hora inicio]]&lt;$B$1,"Mañana","Tarde")</f>
        <v>Mañana</v>
      </c>
      <c r="E57" t="s">
        <v>134</v>
      </c>
      <c r="F57" s="19">
        <f>IF(Tabla1[[#This Row],[P/LC/CF/CL]]="P",Tabla1[[#This Row],[Hora fin ]]-Tabla1[[#This Row],[Hora inicio]],"")</f>
        <v>0.13541666666666663</v>
      </c>
      <c r="G57" s="19">
        <f>Tabla1[[#This Row],[Hora fin ]]-Tabla1[[#This Row],[Hora inicio]]</f>
        <v>0.13541666666666663</v>
      </c>
      <c r="H57" s="16">
        <f>WEEKNUM(Tabla1[[#This Row],[Día]])</f>
        <v>12</v>
      </c>
      <c r="J57" s="16">
        <f>IFERROR(((HOUR(Tabla1[[#This Row],[Tiempo producción]])*60+MINUTE(Tabla1[[#This Row],[Tiempo producción]]))/60)*$J$1,"")</f>
        <v>5850</v>
      </c>
      <c r="K57" s="21">
        <f>IFERROR(Tabla1[[#This Row],[Cantidad producida]]/Tabla1[[#This Row],[Cantidad teórica]],"")</f>
        <v>0</v>
      </c>
      <c r="L57" s="3"/>
      <c r="M57" s="23" t="str">
        <f>IF(Tabla1[[#This Row],[P/LC/CF/CL]]&lt;&gt;"P",Tabla1[[#This Row],[Hora fin ]]-Tabla1[[#This Row],[Hora inicio]],"")</f>
        <v/>
      </c>
      <c r="N57" t="str">
        <f>IF(Tabla1[[#This Row],[Cantidad producida]]&gt;Tabla1[[#This Row],[Cantidad teórica]],"SI","")</f>
        <v/>
      </c>
    </row>
    <row r="58" spans="1:14" x14ac:dyDescent="0.25">
      <c r="A58" s="2">
        <v>45734</v>
      </c>
      <c r="B58" s="3">
        <v>0.39583333333333331</v>
      </c>
      <c r="C58" s="3">
        <v>0.41666666666666669</v>
      </c>
      <c r="D58" s="19" t="str">
        <f>+IF(Tabla1[[#This Row],[Hora inicio]]&lt;$B$1,"Mañana","Tarde")</f>
        <v>Mañana</v>
      </c>
      <c r="E58" t="s">
        <v>124</v>
      </c>
      <c r="F58" s="19" t="str">
        <f>IF(Tabla1[[#This Row],[P/LC/CF/CL]]="P",Tabla1[[#This Row],[Hora fin ]]-Tabla1[[#This Row],[Hora inicio]],"")</f>
        <v/>
      </c>
      <c r="G58" s="19">
        <f>Tabla1[[#This Row],[Hora fin ]]-Tabla1[[#This Row],[Hora inicio]]</f>
        <v>2.083333333333337E-2</v>
      </c>
      <c r="H58" s="16">
        <f>WEEKNUM(Tabla1[[#This Row],[Día]])</f>
        <v>12</v>
      </c>
      <c r="J58" s="16" t="str">
        <f>IFERROR(((HOUR(Tabla1[[#This Row],[Tiempo producción]])*60+MINUTE(Tabla1[[#This Row],[Tiempo producción]]))/60)*$J$1,"")</f>
        <v/>
      </c>
      <c r="K58" s="21" t="str">
        <f>IFERROR(Tabla1[[#This Row],[Cantidad producida]]/Tabla1[[#This Row],[Cantidad teórica]],"")</f>
        <v/>
      </c>
      <c r="L58" s="3"/>
      <c r="M58" s="23">
        <f>IF(Tabla1[[#This Row],[P/LC/CF/CL]]&lt;&gt;"P",Tabla1[[#This Row],[Hora fin ]]-Tabla1[[#This Row],[Hora inicio]],"")</f>
        <v>2.083333333333337E-2</v>
      </c>
      <c r="N58" t="str">
        <f>IF(Tabla1[[#This Row],[Cantidad producida]]&gt;Tabla1[[#This Row],[Cantidad teórica]],"SI","")</f>
        <v/>
      </c>
    </row>
    <row r="59" spans="1:14" x14ac:dyDescent="0.25">
      <c r="A59" s="2">
        <v>45734</v>
      </c>
      <c r="B59" s="3">
        <v>0.41666666666666669</v>
      </c>
      <c r="C59" s="3">
        <v>0.58333333333333337</v>
      </c>
      <c r="D59" s="19" t="str">
        <f>+IF(Tabla1[[#This Row],[Hora inicio]]&lt;$B$1,"Mañana","Tarde")</f>
        <v>Mañana</v>
      </c>
      <c r="E59" t="s">
        <v>134</v>
      </c>
      <c r="F59" s="19">
        <f>IF(Tabla1[[#This Row],[P/LC/CF/CL]]="P",Tabla1[[#This Row],[Hora fin ]]-Tabla1[[#This Row],[Hora inicio]],"")</f>
        <v>0.16666666666666669</v>
      </c>
      <c r="G59" s="19">
        <f>Tabla1[[#This Row],[Hora fin ]]-Tabla1[[#This Row],[Hora inicio]]</f>
        <v>0.16666666666666669</v>
      </c>
      <c r="H59" s="16">
        <f>WEEKNUM(Tabla1[[#This Row],[Día]])</f>
        <v>12</v>
      </c>
      <c r="J59" s="16">
        <f>IFERROR(((HOUR(Tabla1[[#This Row],[Tiempo producción]])*60+MINUTE(Tabla1[[#This Row],[Tiempo producción]]))/60)*$J$1,"")</f>
        <v>7200</v>
      </c>
      <c r="K59" s="21">
        <f>IFERROR(Tabla1[[#This Row],[Cantidad producida]]/Tabla1[[#This Row],[Cantidad teórica]],"")</f>
        <v>0</v>
      </c>
      <c r="L59" s="3"/>
      <c r="M59" s="23" t="str">
        <f>IF(Tabla1[[#This Row],[P/LC/CF/CL]]&lt;&gt;"P",Tabla1[[#This Row],[Hora fin ]]-Tabla1[[#This Row],[Hora inicio]],"")</f>
        <v/>
      </c>
      <c r="N59" t="str">
        <f>IF(Tabla1[[#This Row],[Cantidad producida]]&gt;Tabla1[[#This Row],[Cantidad teórica]],"SI","")</f>
        <v/>
      </c>
    </row>
    <row r="60" spans="1:14" x14ac:dyDescent="0.25">
      <c r="A60" s="2">
        <v>45734</v>
      </c>
      <c r="B60" s="3">
        <v>0.59375</v>
      </c>
      <c r="C60" s="3">
        <v>0.70138888888888884</v>
      </c>
      <c r="D60" s="19" t="str">
        <f>+IF(Tabla1[[#This Row],[Hora inicio]]&lt;$B$1,"Mañana","Tarde")</f>
        <v>Tarde</v>
      </c>
      <c r="E60" t="s">
        <v>134</v>
      </c>
      <c r="F60" s="19">
        <f>IF(Tabla1[[#This Row],[P/LC/CF/CL]]="P",Tabla1[[#This Row],[Hora fin ]]-Tabla1[[#This Row],[Hora inicio]],"")</f>
        <v>0.10763888888888884</v>
      </c>
      <c r="G60" s="19">
        <f>Tabla1[[#This Row],[Hora fin ]]-Tabla1[[#This Row],[Hora inicio]]</f>
        <v>0.10763888888888884</v>
      </c>
      <c r="H60" s="16">
        <f>WEEKNUM(Tabla1[[#This Row],[Día]])</f>
        <v>12</v>
      </c>
      <c r="J60" s="16">
        <f>IFERROR(((HOUR(Tabla1[[#This Row],[Tiempo producción]])*60+MINUTE(Tabla1[[#This Row],[Tiempo producción]]))/60)*$J$1,"")</f>
        <v>4650</v>
      </c>
      <c r="K60" s="21">
        <f>IFERROR(Tabla1[[#This Row],[Cantidad producida]]/Tabla1[[#This Row],[Cantidad teórica]],"")</f>
        <v>0</v>
      </c>
      <c r="L60" s="3"/>
      <c r="M60" s="23" t="str">
        <f>IF(Tabla1[[#This Row],[P/LC/CF/CL]]&lt;&gt;"P",Tabla1[[#This Row],[Hora fin ]]-Tabla1[[#This Row],[Hora inicio]],"")</f>
        <v/>
      </c>
      <c r="N60" t="str">
        <f>IF(Tabla1[[#This Row],[Cantidad producida]]&gt;Tabla1[[#This Row],[Cantidad teórica]],"SI","")</f>
        <v/>
      </c>
    </row>
    <row r="61" spans="1:14" x14ac:dyDescent="0.25">
      <c r="A61" s="2">
        <v>45734</v>
      </c>
      <c r="B61" s="3">
        <v>0.70138888888888884</v>
      </c>
      <c r="C61" s="3">
        <v>0.74305555555555558</v>
      </c>
      <c r="D61" s="19" t="str">
        <f>+IF(Tabla1[[#This Row],[Hora inicio]]&lt;$B$1,"Mañana","Tarde")</f>
        <v>Tarde</v>
      </c>
      <c r="E61" t="s">
        <v>124</v>
      </c>
      <c r="F61" s="19" t="str">
        <f>IF(Tabla1[[#This Row],[P/LC/CF/CL]]="P",Tabla1[[#This Row],[Hora fin ]]-Tabla1[[#This Row],[Hora inicio]],"")</f>
        <v/>
      </c>
      <c r="G61" s="19">
        <f>Tabla1[[#This Row],[Hora fin ]]-Tabla1[[#This Row],[Hora inicio]]</f>
        <v>4.1666666666666741E-2</v>
      </c>
      <c r="H61" s="16">
        <f>WEEKNUM(Tabla1[[#This Row],[Día]])</f>
        <v>12</v>
      </c>
      <c r="J61" s="16" t="str">
        <f>IFERROR(((HOUR(Tabla1[[#This Row],[Tiempo producción]])*60+MINUTE(Tabla1[[#This Row],[Tiempo producción]]))/60)*$J$1,"")</f>
        <v/>
      </c>
      <c r="K61" s="21" t="str">
        <f>IFERROR(Tabla1[[#This Row],[Cantidad producida]]/Tabla1[[#This Row],[Cantidad teórica]],"")</f>
        <v/>
      </c>
      <c r="L61" s="3"/>
      <c r="M61" s="23">
        <f>IF(Tabla1[[#This Row],[P/LC/CF/CL]]&lt;&gt;"P",Tabla1[[#This Row],[Hora fin ]]-Tabla1[[#This Row],[Hora inicio]],"")</f>
        <v>4.1666666666666741E-2</v>
      </c>
      <c r="N61" t="str">
        <f>IF(Tabla1[[#This Row],[Cantidad producida]]&gt;Tabla1[[#This Row],[Cantidad teórica]],"SI","")</f>
        <v/>
      </c>
    </row>
    <row r="62" spans="1:14" x14ac:dyDescent="0.25">
      <c r="A62" s="2">
        <v>45734</v>
      </c>
      <c r="B62" s="3">
        <v>0.74305555555555558</v>
      </c>
      <c r="C62" s="3">
        <v>0.91666666666666663</v>
      </c>
      <c r="D62" s="19" t="str">
        <f>+IF(Tabla1[[#This Row],[Hora inicio]]&lt;$B$1,"Mañana","Tarde")</f>
        <v>Tarde</v>
      </c>
      <c r="E62" t="s">
        <v>134</v>
      </c>
      <c r="F62" s="19">
        <f>IF(Tabla1[[#This Row],[P/LC/CF/CL]]="P",Tabla1[[#This Row],[Hora fin ]]-Tabla1[[#This Row],[Hora inicio]],"")</f>
        <v>0.17361111111111105</v>
      </c>
      <c r="G62" s="19">
        <f>Tabla1[[#This Row],[Hora fin ]]-Tabla1[[#This Row],[Hora inicio]]</f>
        <v>0.17361111111111105</v>
      </c>
      <c r="H62" s="16">
        <f>WEEKNUM(Tabla1[[#This Row],[Día]])</f>
        <v>12</v>
      </c>
      <c r="J62" s="16">
        <f>IFERROR(((HOUR(Tabla1[[#This Row],[Tiempo producción]])*60+MINUTE(Tabla1[[#This Row],[Tiempo producción]]))/60)*$J$1,"")</f>
        <v>7500.0000000000009</v>
      </c>
      <c r="K62" s="21">
        <f>IFERROR(Tabla1[[#This Row],[Cantidad producida]]/Tabla1[[#This Row],[Cantidad teórica]],"")</f>
        <v>0</v>
      </c>
      <c r="L62" s="3"/>
      <c r="M62" s="23" t="str">
        <f>IF(Tabla1[[#This Row],[P/LC/CF/CL]]&lt;&gt;"P",Tabla1[[#This Row],[Hora fin ]]-Tabla1[[#This Row],[Hora inicio]],"")</f>
        <v/>
      </c>
      <c r="N62" t="str">
        <f>IF(Tabla1[[#This Row],[Cantidad producida]]&gt;Tabla1[[#This Row],[Cantidad teórica]],"SI","")</f>
        <v/>
      </c>
    </row>
    <row r="63" spans="1:14" x14ac:dyDescent="0.25">
      <c r="A63" s="2">
        <v>45735</v>
      </c>
      <c r="B63" s="3">
        <v>0.2638888888888889</v>
      </c>
      <c r="C63" s="3">
        <v>0.5625</v>
      </c>
      <c r="D63" s="19" t="str">
        <f>+IF(Tabla1[[#This Row],[Hora inicio]]&lt;$B$1,"Mañana","Tarde")</f>
        <v>Mañana</v>
      </c>
      <c r="E63" t="s">
        <v>134</v>
      </c>
      <c r="F63" s="19">
        <f>IF(Tabla1[[#This Row],[P/LC/CF/CL]]="P",Tabla1[[#This Row],[Hora fin ]]-Tabla1[[#This Row],[Hora inicio]],"")</f>
        <v>0.2986111111111111</v>
      </c>
      <c r="G63" s="19">
        <f>Tabla1[[#This Row],[Hora fin ]]-Tabla1[[#This Row],[Hora inicio]]</f>
        <v>0.2986111111111111</v>
      </c>
      <c r="H63" s="16">
        <f>WEEKNUM(Tabla1[[#This Row],[Día]])</f>
        <v>12</v>
      </c>
      <c r="J63" s="16">
        <f>IFERROR(((HOUR(Tabla1[[#This Row],[Tiempo producción]])*60+MINUTE(Tabla1[[#This Row],[Tiempo producción]]))/60)*$J$1,"")</f>
        <v>12900</v>
      </c>
      <c r="K63" s="21">
        <f>IFERROR(Tabla1[[#This Row],[Cantidad producida]]/Tabla1[[#This Row],[Cantidad teórica]],"")</f>
        <v>0</v>
      </c>
      <c r="L63" s="3"/>
      <c r="M63" s="23" t="str">
        <f>IF(Tabla1[[#This Row],[P/LC/CF/CL]]&lt;&gt;"P",Tabla1[[#This Row],[Hora fin ]]-Tabla1[[#This Row],[Hora inicio]],"")</f>
        <v/>
      </c>
      <c r="N63" t="str">
        <f>IF(Tabla1[[#This Row],[Cantidad producida]]&gt;Tabla1[[#This Row],[Cantidad teórica]],"SI","")</f>
        <v/>
      </c>
    </row>
    <row r="64" spans="1:14" x14ac:dyDescent="0.25">
      <c r="A64" s="2">
        <v>45735</v>
      </c>
      <c r="B64" s="3">
        <v>0.59375</v>
      </c>
      <c r="C64" s="3">
        <v>0.80208333333333337</v>
      </c>
      <c r="D64" s="19" t="str">
        <f>+IF(Tabla1[[#This Row],[Hora inicio]]&lt;$B$1,"Mañana","Tarde")</f>
        <v>Tarde</v>
      </c>
      <c r="E64" t="s">
        <v>134</v>
      </c>
      <c r="F64" s="19">
        <f>IF(Tabla1[[#This Row],[P/LC/CF/CL]]="P",Tabla1[[#This Row],[Hora fin ]]-Tabla1[[#This Row],[Hora inicio]],"")</f>
        <v>0.20833333333333337</v>
      </c>
      <c r="G64" s="19">
        <f>Tabla1[[#This Row],[Hora fin ]]-Tabla1[[#This Row],[Hora inicio]]</f>
        <v>0.20833333333333337</v>
      </c>
      <c r="H64" s="16">
        <f>WEEKNUM(Tabla1[[#This Row],[Día]])</f>
        <v>12</v>
      </c>
      <c r="J64" s="16">
        <f>IFERROR(((HOUR(Tabla1[[#This Row],[Tiempo producción]])*60+MINUTE(Tabla1[[#This Row],[Tiempo producción]]))/60)*$J$1,"")</f>
        <v>9000</v>
      </c>
      <c r="K64" s="21">
        <f>IFERROR(Tabla1[[#This Row],[Cantidad producida]]/Tabla1[[#This Row],[Cantidad teórica]],"")</f>
        <v>0</v>
      </c>
      <c r="L64" s="3"/>
      <c r="M64" s="23" t="str">
        <f>IF(Tabla1[[#This Row],[P/LC/CF/CL]]&lt;&gt;"P",Tabla1[[#This Row],[Hora fin ]]-Tabla1[[#This Row],[Hora inicio]],"")</f>
        <v/>
      </c>
      <c r="N64" t="str">
        <f>IF(Tabla1[[#This Row],[Cantidad producida]]&gt;Tabla1[[#This Row],[Cantidad teórica]],"SI","")</f>
        <v/>
      </c>
    </row>
    <row r="65" spans="1:14" x14ac:dyDescent="0.25">
      <c r="A65" s="2">
        <v>45735</v>
      </c>
      <c r="B65" s="3">
        <v>0.80208333333333337</v>
      </c>
      <c r="C65" s="3">
        <v>0.81597222222222221</v>
      </c>
      <c r="D65" s="19" t="str">
        <f>+IF(Tabla1[[#This Row],[Hora inicio]]&lt;$B$1,"Mañana","Tarde")</f>
        <v>Tarde</v>
      </c>
      <c r="E65" t="s">
        <v>124</v>
      </c>
      <c r="F65" s="19" t="str">
        <f>IF(Tabla1[[#This Row],[P/LC/CF/CL]]="P",Tabla1[[#This Row],[Hora fin ]]-Tabla1[[#This Row],[Hora inicio]],"")</f>
        <v/>
      </c>
      <c r="G65" s="19">
        <f>Tabla1[[#This Row],[Hora fin ]]-Tabla1[[#This Row],[Hora inicio]]</f>
        <v>1.388888888888884E-2</v>
      </c>
      <c r="H65" s="16">
        <f>WEEKNUM(Tabla1[[#This Row],[Día]])</f>
        <v>12</v>
      </c>
      <c r="J65" s="16" t="str">
        <f>IFERROR(((HOUR(Tabla1[[#This Row],[Tiempo producción]])*60+MINUTE(Tabla1[[#This Row],[Tiempo producción]]))/60)*$J$1,"")</f>
        <v/>
      </c>
      <c r="K65" s="21" t="str">
        <f>IFERROR(Tabla1[[#This Row],[Cantidad producida]]/Tabla1[[#This Row],[Cantidad teórica]],"")</f>
        <v/>
      </c>
      <c r="L65" s="3"/>
      <c r="M65" s="23">
        <f>IF(Tabla1[[#This Row],[P/LC/CF/CL]]&lt;&gt;"P",Tabla1[[#This Row],[Hora fin ]]-Tabla1[[#This Row],[Hora inicio]],"")</f>
        <v>1.388888888888884E-2</v>
      </c>
      <c r="N65" t="str">
        <f>IF(Tabla1[[#This Row],[Cantidad producida]]&gt;Tabla1[[#This Row],[Cantidad teórica]],"SI","")</f>
        <v/>
      </c>
    </row>
    <row r="66" spans="1:14" x14ac:dyDescent="0.25">
      <c r="A66" s="2">
        <v>45735</v>
      </c>
      <c r="B66" s="3">
        <v>0.81597222222222221</v>
      </c>
      <c r="C66" s="3">
        <v>0.91666666666666663</v>
      </c>
      <c r="D66" s="19" t="str">
        <f>+IF(Tabla1[[#This Row],[Hora inicio]]&lt;$B$1,"Mañana","Tarde")</f>
        <v>Tarde</v>
      </c>
      <c r="E66" t="s">
        <v>134</v>
      </c>
      <c r="F66" s="19">
        <f>IF(Tabla1[[#This Row],[P/LC/CF/CL]]="P",Tabla1[[#This Row],[Hora fin ]]-Tabla1[[#This Row],[Hora inicio]],"")</f>
        <v>0.10069444444444442</v>
      </c>
      <c r="G66" s="19">
        <f>Tabla1[[#This Row],[Hora fin ]]-Tabla1[[#This Row],[Hora inicio]]</f>
        <v>0.10069444444444442</v>
      </c>
      <c r="H66" s="16">
        <f>WEEKNUM(Tabla1[[#This Row],[Día]])</f>
        <v>12</v>
      </c>
      <c r="J66" s="16">
        <f>IFERROR(((HOUR(Tabla1[[#This Row],[Tiempo producción]])*60+MINUTE(Tabla1[[#This Row],[Tiempo producción]]))/60)*$J$1,"")</f>
        <v>4350</v>
      </c>
      <c r="K66" s="21">
        <f>IFERROR(Tabla1[[#This Row],[Cantidad producida]]/Tabla1[[#This Row],[Cantidad teórica]],"")</f>
        <v>0</v>
      </c>
      <c r="L66" s="3"/>
      <c r="M66" s="23" t="str">
        <f>IF(Tabla1[[#This Row],[P/LC/CF/CL]]&lt;&gt;"P",Tabla1[[#This Row],[Hora fin ]]-Tabla1[[#This Row],[Hora inicio]],"")</f>
        <v/>
      </c>
      <c r="N66" t="str">
        <f>IF(Tabla1[[#This Row],[Cantidad producida]]&gt;Tabla1[[#This Row],[Cantidad teórica]],"SI","")</f>
        <v/>
      </c>
    </row>
    <row r="67" spans="1:14" x14ac:dyDescent="0.25">
      <c r="A67" s="2">
        <v>45736</v>
      </c>
      <c r="B67" s="3">
        <v>0.27083333333333331</v>
      </c>
      <c r="C67" s="3">
        <v>0.56944444444444442</v>
      </c>
      <c r="D67" s="19" t="str">
        <f>+IF(Tabla1[[#This Row],[Hora inicio]]&lt;$B$1,"Mañana","Tarde")</f>
        <v>Mañana</v>
      </c>
      <c r="E67" t="s">
        <v>134</v>
      </c>
      <c r="F67" s="19">
        <f>IF(Tabla1[[#This Row],[P/LC/CF/CL]]="P",Tabla1[[#This Row],[Hora fin ]]-Tabla1[[#This Row],[Hora inicio]],"")</f>
        <v>0.2986111111111111</v>
      </c>
      <c r="G67" s="19">
        <f>Tabla1[[#This Row],[Hora fin ]]-Tabla1[[#This Row],[Hora inicio]]</f>
        <v>0.2986111111111111</v>
      </c>
      <c r="H67" s="16">
        <f>WEEKNUM(Tabla1[[#This Row],[Día]])</f>
        <v>12</v>
      </c>
      <c r="J67" s="16">
        <f>IFERROR(((HOUR(Tabla1[[#This Row],[Tiempo producción]])*60+MINUTE(Tabla1[[#This Row],[Tiempo producción]]))/60)*$J$1,"")</f>
        <v>12900</v>
      </c>
      <c r="K67" s="21">
        <f>IFERROR(Tabla1[[#This Row],[Cantidad producida]]/Tabla1[[#This Row],[Cantidad teórica]],"")</f>
        <v>0</v>
      </c>
      <c r="L67" s="3"/>
      <c r="M67" s="23" t="str">
        <f>IF(Tabla1[[#This Row],[P/LC/CF/CL]]&lt;&gt;"P",Tabla1[[#This Row],[Hora fin ]]-Tabla1[[#This Row],[Hora inicio]],"")</f>
        <v/>
      </c>
      <c r="N67" t="str">
        <f>IF(Tabla1[[#This Row],[Cantidad producida]]&gt;Tabla1[[#This Row],[Cantidad teórica]],"SI","")</f>
        <v/>
      </c>
    </row>
    <row r="68" spans="1:14" x14ac:dyDescent="0.25">
      <c r="A68" s="2">
        <v>45736</v>
      </c>
      <c r="B68" s="3">
        <v>0.59375</v>
      </c>
      <c r="C68" s="3">
        <v>0.82499999999999996</v>
      </c>
      <c r="D68" s="19" t="str">
        <f>+IF(Tabla1[[#This Row],[Hora inicio]]&lt;$B$1,"Mañana","Tarde")</f>
        <v>Tarde</v>
      </c>
      <c r="E68" t="s">
        <v>134</v>
      </c>
      <c r="F68" s="19">
        <f>IF(Tabla1[[#This Row],[P/LC/CF/CL]]="P",Tabla1[[#This Row],[Hora fin ]]-Tabla1[[#This Row],[Hora inicio]],"")</f>
        <v>0.23124999999999996</v>
      </c>
      <c r="G68" s="19">
        <f>Tabla1[[#This Row],[Hora fin ]]-Tabla1[[#This Row],[Hora inicio]]</f>
        <v>0.23124999999999996</v>
      </c>
      <c r="H68" s="16">
        <f>WEEKNUM(Tabla1[[#This Row],[Día]])</f>
        <v>12</v>
      </c>
      <c r="J68" s="16">
        <f>IFERROR(((HOUR(Tabla1[[#This Row],[Tiempo producción]])*60+MINUTE(Tabla1[[#This Row],[Tiempo producción]]))/60)*$J$1,"")</f>
        <v>9990</v>
      </c>
      <c r="K68" s="21">
        <f>IFERROR(Tabla1[[#This Row],[Cantidad producida]]/Tabla1[[#This Row],[Cantidad teórica]],"")</f>
        <v>0</v>
      </c>
      <c r="L68" s="3"/>
      <c r="M68" s="23" t="str">
        <f>IF(Tabla1[[#This Row],[P/LC/CF/CL]]&lt;&gt;"P",Tabla1[[#This Row],[Hora fin ]]-Tabla1[[#This Row],[Hora inicio]],"")</f>
        <v/>
      </c>
      <c r="N68" t="str">
        <f>IF(Tabla1[[#This Row],[Cantidad producida]]&gt;Tabla1[[#This Row],[Cantidad teórica]],"SI","")</f>
        <v/>
      </c>
    </row>
    <row r="69" spans="1:14" x14ac:dyDescent="0.25">
      <c r="A69" s="2">
        <v>45736</v>
      </c>
      <c r="B69" s="3">
        <v>0.82638888888888884</v>
      </c>
      <c r="C69" s="3">
        <v>0.91666666666666663</v>
      </c>
      <c r="D69" s="19" t="str">
        <f>+IF(Tabla1[[#This Row],[Hora inicio]]&lt;$B$1,"Mañana","Tarde")</f>
        <v>Tarde</v>
      </c>
      <c r="E69" t="s">
        <v>122</v>
      </c>
      <c r="F69" s="19" t="str">
        <f>IF(Tabla1[[#This Row],[P/LC/CF/CL]]="P",Tabla1[[#This Row],[Hora fin ]]-Tabla1[[#This Row],[Hora inicio]],"")</f>
        <v/>
      </c>
      <c r="G69" s="19">
        <f>Tabla1[[#This Row],[Hora fin ]]-Tabla1[[#This Row],[Hora inicio]]</f>
        <v>9.027777777777779E-2</v>
      </c>
      <c r="H69" s="16">
        <f>WEEKNUM(Tabla1[[#This Row],[Día]])</f>
        <v>12</v>
      </c>
      <c r="J69" s="16" t="str">
        <f>IFERROR(((HOUR(Tabla1[[#This Row],[Tiempo producción]])*60+MINUTE(Tabla1[[#This Row],[Tiempo producción]]))/60)*$J$1,"")</f>
        <v/>
      </c>
      <c r="K69" s="21" t="str">
        <f>IFERROR(Tabla1[[#This Row],[Cantidad producida]]/Tabla1[[#This Row],[Cantidad teórica]],"")</f>
        <v/>
      </c>
      <c r="L69" s="3"/>
      <c r="M69" s="23">
        <f>IF(Tabla1[[#This Row],[P/LC/CF/CL]]&lt;&gt;"P",Tabla1[[#This Row],[Hora fin ]]-Tabla1[[#This Row],[Hora inicio]],"")</f>
        <v>9.027777777777779E-2</v>
      </c>
      <c r="N69" t="str">
        <f>IF(Tabla1[[#This Row],[Cantidad producida]]&gt;Tabla1[[#This Row],[Cantidad teórica]],"SI","")</f>
        <v/>
      </c>
    </row>
    <row r="70" spans="1:14" x14ac:dyDescent="0.25">
      <c r="A70" s="2">
        <v>45737</v>
      </c>
      <c r="B70" s="3">
        <v>0.26041666666666669</v>
      </c>
      <c r="C70" s="3">
        <v>0.49305555555555558</v>
      </c>
      <c r="D70" s="19" t="str">
        <f>+IF(Tabla1[[#This Row],[Hora inicio]]&lt;$B$1,"Mañana","Tarde")</f>
        <v>Mañana</v>
      </c>
      <c r="E70" t="s">
        <v>122</v>
      </c>
      <c r="F70" s="19" t="str">
        <f>IF(Tabla1[[#This Row],[P/LC/CF/CL]]="P",Tabla1[[#This Row],[Hora fin ]]-Tabla1[[#This Row],[Hora inicio]],"")</f>
        <v/>
      </c>
      <c r="G70" s="19">
        <f>Tabla1[[#This Row],[Hora fin ]]-Tabla1[[#This Row],[Hora inicio]]</f>
        <v>0.2326388888888889</v>
      </c>
      <c r="H70" s="16">
        <f>WEEKNUM(Tabla1[[#This Row],[Día]])</f>
        <v>12</v>
      </c>
      <c r="J70" s="16" t="str">
        <f>IFERROR(((HOUR(Tabla1[[#This Row],[Tiempo producción]])*60+MINUTE(Tabla1[[#This Row],[Tiempo producción]]))/60)*$J$1,"")</f>
        <v/>
      </c>
      <c r="K70" s="21" t="str">
        <f>IFERROR(Tabla1[[#This Row],[Cantidad producida]]/Tabla1[[#This Row],[Cantidad teórica]],"")</f>
        <v/>
      </c>
      <c r="L70" s="3"/>
      <c r="M70" s="23">
        <f>IF(Tabla1[[#This Row],[P/LC/CF/CL]]&lt;&gt;"P",Tabla1[[#This Row],[Hora fin ]]-Tabla1[[#This Row],[Hora inicio]],"")</f>
        <v>0.2326388888888889</v>
      </c>
      <c r="N70" t="str">
        <f>IF(Tabla1[[#This Row],[Cantidad producida]]&gt;Tabla1[[#This Row],[Cantidad teórica]],"SI","")</f>
        <v/>
      </c>
    </row>
    <row r="71" spans="1:14" x14ac:dyDescent="0.25">
      <c r="A71" s="2">
        <v>45737</v>
      </c>
      <c r="B71" s="3">
        <v>0.49305555555555558</v>
      </c>
      <c r="C71" s="3">
        <v>0.58333333333333337</v>
      </c>
      <c r="D71" s="19" t="str">
        <f>+IF(Tabla1[[#This Row],[Hora inicio]]&lt;$B$1,"Mañana","Tarde")</f>
        <v>Mañana</v>
      </c>
      <c r="E71" t="s">
        <v>123</v>
      </c>
      <c r="F71" s="19" t="str">
        <f>IF(Tabla1[[#This Row],[P/LC/CF/CL]]="P",Tabla1[[#This Row],[Hora fin ]]-Tabla1[[#This Row],[Hora inicio]],"")</f>
        <v/>
      </c>
      <c r="G71" s="19">
        <f>Tabla1[[#This Row],[Hora fin ]]-Tabla1[[#This Row],[Hora inicio]]</f>
        <v>9.027777777777779E-2</v>
      </c>
      <c r="H71" s="16">
        <f>WEEKNUM(Tabla1[[#This Row],[Día]])</f>
        <v>12</v>
      </c>
      <c r="J71" s="16" t="str">
        <f>IFERROR(((HOUR(Tabla1[[#This Row],[Tiempo producción]])*60+MINUTE(Tabla1[[#This Row],[Tiempo producción]]))/60)*$J$1,"")</f>
        <v/>
      </c>
      <c r="K71" s="21" t="str">
        <f>IFERROR(Tabla1[[#This Row],[Cantidad producida]]/Tabla1[[#This Row],[Cantidad teórica]],"")</f>
        <v/>
      </c>
      <c r="L71" s="3"/>
      <c r="M71" s="23">
        <f>IF(Tabla1[[#This Row],[P/LC/CF/CL]]&lt;&gt;"P",Tabla1[[#This Row],[Hora fin ]]-Tabla1[[#This Row],[Hora inicio]],"")</f>
        <v>9.027777777777779E-2</v>
      </c>
      <c r="N71" t="str">
        <f>IF(Tabla1[[#This Row],[Cantidad producida]]&gt;Tabla1[[#This Row],[Cantidad teórica]],"SI","")</f>
        <v/>
      </c>
    </row>
    <row r="72" spans="1:14" x14ac:dyDescent="0.25">
      <c r="A72" s="2">
        <v>45737</v>
      </c>
      <c r="B72" s="3">
        <v>0.60416666666666663</v>
      </c>
      <c r="C72" s="3">
        <v>0.77083333333333337</v>
      </c>
      <c r="D72" s="19" t="str">
        <f>+IF(Tabla1[[#This Row],[Hora inicio]]&lt;$B$1,"Mañana","Tarde")</f>
        <v>Tarde</v>
      </c>
      <c r="E72" t="s">
        <v>123</v>
      </c>
      <c r="F72" s="19" t="str">
        <f>IF(Tabla1[[#This Row],[P/LC/CF/CL]]="P",Tabla1[[#This Row],[Hora fin ]]-Tabla1[[#This Row],[Hora inicio]],"")</f>
        <v/>
      </c>
      <c r="G72" s="19">
        <f>Tabla1[[#This Row],[Hora fin ]]-Tabla1[[#This Row],[Hora inicio]]</f>
        <v>0.16666666666666674</v>
      </c>
      <c r="H72" s="16">
        <f>WEEKNUM(Tabla1[[#This Row],[Día]])</f>
        <v>12</v>
      </c>
      <c r="J72" s="16" t="str">
        <f>IFERROR(((HOUR(Tabla1[[#This Row],[Tiempo producción]])*60+MINUTE(Tabla1[[#This Row],[Tiempo producción]]))/60)*$J$1,"")</f>
        <v/>
      </c>
      <c r="K72" s="21" t="str">
        <f>IFERROR(Tabla1[[#This Row],[Cantidad producida]]/Tabla1[[#This Row],[Cantidad teórica]],"")</f>
        <v/>
      </c>
      <c r="L72" s="3"/>
      <c r="M72" s="23">
        <f>IF(Tabla1[[#This Row],[P/LC/CF/CL]]&lt;&gt;"P",Tabla1[[#This Row],[Hora fin ]]-Tabla1[[#This Row],[Hora inicio]],"")</f>
        <v>0.16666666666666674</v>
      </c>
      <c r="N72" t="str">
        <f>IF(Tabla1[[#This Row],[Cantidad producida]]&gt;Tabla1[[#This Row],[Cantidad teórica]],"SI","")</f>
        <v/>
      </c>
    </row>
    <row r="73" spans="1:14" x14ac:dyDescent="0.25">
      <c r="A73" s="2">
        <v>45737</v>
      </c>
      <c r="B73" s="3">
        <v>0.82291666666666663</v>
      </c>
      <c r="C73" s="3">
        <v>0.91666666666666663</v>
      </c>
      <c r="D73" s="19" t="str">
        <f>+IF(Tabla1[[#This Row],[Hora inicio]]&lt;$B$1,"Mañana","Tarde")</f>
        <v>Tarde</v>
      </c>
      <c r="E73" t="s">
        <v>134</v>
      </c>
      <c r="F73" s="19">
        <f>IF(Tabla1[[#This Row],[P/LC/CF/CL]]="P",Tabla1[[#This Row],[Hora fin ]]-Tabla1[[#This Row],[Hora inicio]],"")</f>
        <v>9.375E-2</v>
      </c>
      <c r="G73" s="19">
        <f>Tabla1[[#This Row],[Hora fin ]]-Tabla1[[#This Row],[Hora inicio]]</f>
        <v>9.375E-2</v>
      </c>
      <c r="H73" s="16">
        <f>WEEKNUM(Tabla1[[#This Row],[Día]])</f>
        <v>12</v>
      </c>
      <c r="J73" s="16">
        <f>IFERROR(((HOUR(Tabla1[[#This Row],[Tiempo producción]])*60+MINUTE(Tabla1[[#This Row],[Tiempo producción]]))/60)*$J$1,"")</f>
        <v>4050</v>
      </c>
      <c r="K73" s="21">
        <f>IFERROR(Tabla1[[#This Row],[Cantidad producida]]/Tabla1[[#This Row],[Cantidad teórica]],"")</f>
        <v>0</v>
      </c>
      <c r="L73" s="3"/>
      <c r="M73" s="23" t="str">
        <f>IF(Tabla1[[#This Row],[P/LC/CF/CL]]&lt;&gt;"P",Tabla1[[#This Row],[Hora fin ]]-Tabla1[[#This Row],[Hora inicio]],"")</f>
        <v/>
      </c>
      <c r="N73" t="str">
        <f>IF(Tabla1[[#This Row],[Cantidad producida]]&gt;Tabla1[[#This Row],[Cantidad teórica]],"SI","")</f>
        <v/>
      </c>
    </row>
    <row r="74" spans="1:14" x14ac:dyDescent="0.25">
      <c r="A74" s="2">
        <v>45740</v>
      </c>
      <c r="B74" s="3">
        <v>0.2673611111111111</v>
      </c>
      <c r="C74" s="3">
        <v>0.5625</v>
      </c>
      <c r="D74" s="19" t="str">
        <f>+IF(Tabla1[[#This Row],[Hora inicio]]&lt;$B$1,"Mañana","Tarde")</f>
        <v>Mañana</v>
      </c>
      <c r="E74" t="s">
        <v>134</v>
      </c>
      <c r="F74" s="19">
        <f>IF(Tabla1[[#This Row],[P/LC/CF/CL]]="P",Tabla1[[#This Row],[Hora fin ]]-Tabla1[[#This Row],[Hora inicio]],"")</f>
        <v>0.2951388888888889</v>
      </c>
      <c r="G74" s="19">
        <f>Tabla1[[#This Row],[Hora fin ]]-Tabla1[[#This Row],[Hora inicio]]</f>
        <v>0.2951388888888889</v>
      </c>
      <c r="H74" s="16">
        <f>WEEKNUM(Tabla1[[#This Row],[Día]])</f>
        <v>13</v>
      </c>
      <c r="J74" s="16">
        <f>IFERROR(((HOUR(Tabla1[[#This Row],[Tiempo producción]])*60+MINUTE(Tabla1[[#This Row],[Tiempo producción]]))/60)*$J$1,"")</f>
        <v>12750</v>
      </c>
      <c r="K74" s="21">
        <f>IFERROR(Tabla1[[#This Row],[Cantidad producida]]/Tabla1[[#This Row],[Cantidad teórica]],"")</f>
        <v>0</v>
      </c>
      <c r="L74" s="3"/>
      <c r="M74" s="23" t="str">
        <f>IF(Tabla1[[#This Row],[P/LC/CF/CL]]&lt;&gt;"P",Tabla1[[#This Row],[Hora fin ]]-Tabla1[[#This Row],[Hora inicio]],"")</f>
        <v/>
      </c>
      <c r="N74" t="str">
        <f>IF(Tabla1[[#This Row],[Cantidad producida]]&gt;Tabla1[[#This Row],[Cantidad teórica]],"SI","")</f>
        <v/>
      </c>
    </row>
    <row r="75" spans="1:14" x14ac:dyDescent="0.25">
      <c r="A75" s="2">
        <v>45740</v>
      </c>
      <c r="B75" s="3">
        <v>0.59375</v>
      </c>
      <c r="C75" s="3">
        <v>0.6875</v>
      </c>
      <c r="D75" s="19" t="str">
        <f>+IF(Tabla1[[#This Row],[Hora inicio]]&lt;$B$1,"Mañana","Tarde")</f>
        <v>Tarde</v>
      </c>
      <c r="E75" t="s">
        <v>134</v>
      </c>
      <c r="F75" s="19">
        <f>IF(Tabla1[[#This Row],[P/LC/CF/CL]]="P",Tabla1[[#This Row],[Hora fin ]]-Tabla1[[#This Row],[Hora inicio]],"")</f>
        <v>9.375E-2</v>
      </c>
      <c r="G75" s="19">
        <f>Tabla1[[#This Row],[Hora fin ]]-Tabla1[[#This Row],[Hora inicio]]</f>
        <v>9.375E-2</v>
      </c>
      <c r="H75" s="16">
        <f>WEEKNUM(Tabla1[[#This Row],[Día]])</f>
        <v>13</v>
      </c>
      <c r="J75" s="16">
        <f>IFERROR(((HOUR(Tabla1[[#This Row],[Tiempo producción]])*60+MINUTE(Tabla1[[#This Row],[Tiempo producción]]))/60)*$J$1,"")</f>
        <v>4050</v>
      </c>
      <c r="K75" s="21">
        <f>IFERROR(Tabla1[[#This Row],[Cantidad producida]]/Tabla1[[#This Row],[Cantidad teórica]],"")</f>
        <v>0</v>
      </c>
      <c r="L75" s="3"/>
      <c r="M75" s="23" t="str">
        <f>IF(Tabla1[[#This Row],[P/LC/CF/CL]]&lt;&gt;"P",Tabla1[[#This Row],[Hora fin ]]-Tabla1[[#This Row],[Hora inicio]],"")</f>
        <v/>
      </c>
      <c r="N75" t="str">
        <f>IF(Tabla1[[#This Row],[Cantidad producida]]&gt;Tabla1[[#This Row],[Cantidad teórica]],"SI","")</f>
        <v/>
      </c>
    </row>
    <row r="76" spans="1:14" x14ac:dyDescent="0.25">
      <c r="A76" s="2">
        <v>45740</v>
      </c>
      <c r="B76" s="3">
        <v>0.70833333333333337</v>
      </c>
      <c r="C76" s="3">
        <v>0.91666666666666663</v>
      </c>
      <c r="D76" s="19" t="str">
        <f>+IF(Tabla1[[#This Row],[Hora inicio]]&lt;$B$1,"Mañana","Tarde")</f>
        <v>Tarde</v>
      </c>
      <c r="E76" t="s">
        <v>122</v>
      </c>
      <c r="F76" s="19" t="str">
        <f>IF(Tabla1[[#This Row],[P/LC/CF/CL]]="P",Tabla1[[#This Row],[Hora fin ]]-Tabla1[[#This Row],[Hora inicio]],"")</f>
        <v/>
      </c>
      <c r="G76" s="19">
        <f>Tabla1[[#This Row],[Hora fin ]]-Tabla1[[#This Row],[Hora inicio]]</f>
        <v>0.20833333333333326</v>
      </c>
      <c r="H76" s="16">
        <f>WEEKNUM(Tabla1[[#This Row],[Día]])</f>
        <v>13</v>
      </c>
      <c r="J76" s="16" t="str">
        <f>IFERROR(((HOUR(Tabla1[[#This Row],[Tiempo producción]])*60+MINUTE(Tabla1[[#This Row],[Tiempo producción]]))/60)*$J$1,"")</f>
        <v/>
      </c>
      <c r="K76" s="21" t="str">
        <f>IFERROR(Tabla1[[#This Row],[Cantidad producida]]/Tabla1[[#This Row],[Cantidad teórica]],"")</f>
        <v/>
      </c>
      <c r="L76" s="3"/>
      <c r="M76" s="23">
        <f>IF(Tabla1[[#This Row],[P/LC/CF/CL]]&lt;&gt;"P",Tabla1[[#This Row],[Hora fin ]]-Tabla1[[#This Row],[Hora inicio]],"")</f>
        <v>0.20833333333333326</v>
      </c>
      <c r="N76" t="str">
        <f>IF(Tabla1[[#This Row],[Cantidad producida]]&gt;Tabla1[[#This Row],[Cantidad teórica]],"SI","")</f>
        <v/>
      </c>
    </row>
    <row r="77" spans="1:14" x14ac:dyDescent="0.25">
      <c r="A77" s="2">
        <v>45741</v>
      </c>
      <c r="B77" s="3">
        <v>0.25</v>
      </c>
      <c r="C77" s="3">
        <v>0.30555555555555558</v>
      </c>
      <c r="D77" s="19" t="str">
        <f>+IF(Tabla1[[#This Row],[Hora inicio]]&lt;$B$1,"Mañana","Tarde")</f>
        <v>Mañana</v>
      </c>
      <c r="E77" t="s">
        <v>122</v>
      </c>
      <c r="F77" s="19" t="str">
        <f>IF(Tabla1[[#This Row],[P/LC/CF/CL]]="P",Tabla1[[#This Row],[Hora fin ]]-Tabla1[[#This Row],[Hora inicio]],"")</f>
        <v/>
      </c>
      <c r="G77" s="19">
        <f>Tabla1[[#This Row],[Hora fin ]]-Tabla1[[#This Row],[Hora inicio]]</f>
        <v>5.555555555555558E-2</v>
      </c>
      <c r="H77" s="16">
        <f>WEEKNUM(Tabla1[[#This Row],[Día]])</f>
        <v>13</v>
      </c>
      <c r="J77" s="16" t="str">
        <f>IFERROR(((HOUR(Tabla1[[#This Row],[Tiempo producción]])*60+MINUTE(Tabla1[[#This Row],[Tiempo producción]]))/60)*$J$1,"")</f>
        <v/>
      </c>
      <c r="K77" s="21" t="str">
        <f>IFERROR(Tabla1[[#This Row],[Cantidad producida]]/Tabla1[[#This Row],[Cantidad teórica]],"")</f>
        <v/>
      </c>
      <c r="L77" s="3"/>
      <c r="M77" s="23">
        <f>IF(Tabla1[[#This Row],[P/LC/CF/CL]]&lt;&gt;"P",Tabla1[[#This Row],[Hora fin ]]-Tabla1[[#This Row],[Hora inicio]],"")</f>
        <v>5.555555555555558E-2</v>
      </c>
      <c r="N77" t="str">
        <f>IF(Tabla1[[#This Row],[Cantidad producida]]&gt;Tabla1[[#This Row],[Cantidad teórica]],"SI","")</f>
        <v/>
      </c>
    </row>
    <row r="78" spans="1:14" x14ac:dyDescent="0.25">
      <c r="A78" s="2">
        <v>45741</v>
      </c>
      <c r="B78" s="3">
        <v>0.3125</v>
      </c>
      <c r="C78" s="3">
        <v>0.41666666666666669</v>
      </c>
      <c r="D78" s="19" t="str">
        <f>+IF(Tabla1[[#This Row],[Hora inicio]]&lt;$B$1,"Mañana","Tarde")</f>
        <v>Mañana</v>
      </c>
      <c r="E78" t="s">
        <v>123</v>
      </c>
      <c r="F78" s="19" t="str">
        <f>IF(Tabla1[[#This Row],[P/LC/CF/CL]]="P",Tabla1[[#This Row],[Hora fin ]]-Tabla1[[#This Row],[Hora inicio]],"")</f>
        <v/>
      </c>
      <c r="G78" s="19">
        <f>Tabla1[[#This Row],[Hora fin ]]-Tabla1[[#This Row],[Hora inicio]]</f>
        <v>0.10416666666666669</v>
      </c>
      <c r="H78" s="16">
        <f>WEEKNUM(Tabla1[[#This Row],[Día]])</f>
        <v>13</v>
      </c>
      <c r="J78" s="16" t="str">
        <f>IFERROR(((HOUR(Tabla1[[#This Row],[Tiempo producción]])*60+MINUTE(Tabla1[[#This Row],[Tiempo producción]]))/60)*$J$1,"")</f>
        <v/>
      </c>
      <c r="K78" s="21" t="str">
        <f>IFERROR(Tabla1[[#This Row],[Cantidad producida]]/Tabla1[[#This Row],[Cantidad teórica]],"")</f>
        <v/>
      </c>
      <c r="L78" s="3"/>
      <c r="M78" s="23">
        <f>IF(Tabla1[[#This Row],[P/LC/CF/CL]]&lt;&gt;"P",Tabla1[[#This Row],[Hora fin ]]-Tabla1[[#This Row],[Hora inicio]],"")</f>
        <v>0.10416666666666669</v>
      </c>
      <c r="N78" t="str">
        <f>IF(Tabla1[[#This Row],[Cantidad producida]]&gt;Tabla1[[#This Row],[Cantidad teórica]],"SI","")</f>
        <v/>
      </c>
    </row>
    <row r="79" spans="1:14" x14ac:dyDescent="0.25">
      <c r="A79" s="2">
        <v>45741</v>
      </c>
      <c r="B79" s="3">
        <v>0.4826388888888889</v>
      </c>
      <c r="C79" s="3">
        <v>0.5625</v>
      </c>
      <c r="D79" s="19" t="str">
        <f>+IF(Tabla1[[#This Row],[Hora inicio]]&lt;$B$1,"Mañana","Tarde")</f>
        <v>Mañana</v>
      </c>
      <c r="E79" t="s">
        <v>134</v>
      </c>
      <c r="F79" s="19">
        <f>IF(Tabla1[[#This Row],[P/LC/CF/CL]]="P",Tabla1[[#This Row],[Hora fin ]]-Tabla1[[#This Row],[Hora inicio]],"")</f>
        <v>7.9861111111111105E-2</v>
      </c>
      <c r="G79" s="19">
        <f>Tabla1[[#This Row],[Hora fin ]]-Tabla1[[#This Row],[Hora inicio]]</f>
        <v>7.9861111111111105E-2</v>
      </c>
      <c r="H79" s="16">
        <f>WEEKNUM(Tabla1[[#This Row],[Día]])</f>
        <v>13</v>
      </c>
      <c r="J79" s="16">
        <f>IFERROR(((HOUR(Tabla1[[#This Row],[Tiempo producción]])*60+MINUTE(Tabla1[[#This Row],[Tiempo producción]]))/60)*$J$1,"")</f>
        <v>3450</v>
      </c>
      <c r="K79" s="21">
        <f>IFERROR(Tabla1[[#This Row],[Cantidad producida]]/Tabla1[[#This Row],[Cantidad teórica]],"")</f>
        <v>0</v>
      </c>
      <c r="L79" s="3"/>
      <c r="M79" s="23" t="str">
        <f>IF(Tabla1[[#This Row],[P/LC/CF/CL]]&lt;&gt;"P",Tabla1[[#This Row],[Hora fin ]]-Tabla1[[#This Row],[Hora inicio]],"")</f>
        <v/>
      </c>
      <c r="N79" t="str">
        <f>IF(Tabla1[[#This Row],[Cantidad producida]]&gt;Tabla1[[#This Row],[Cantidad teórica]],"SI","")</f>
        <v/>
      </c>
    </row>
    <row r="80" spans="1:14" x14ac:dyDescent="0.25">
      <c r="A80" s="2">
        <v>45741</v>
      </c>
      <c r="B80" s="3">
        <v>0.61458333333333337</v>
      </c>
      <c r="C80" s="3">
        <v>0.77083333333333337</v>
      </c>
      <c r="D80" s="19" t="str">
        <f>+IF(Tabla1[[#This Row],[Hora inicio]]&lt;$B$1,"Mañana","Tarde")</f>
        <v>Tarde</v>
      </c>
      <c r="E80" t="s">
        <v>134</v>
      </c>
      <c r="F80" s="19">
        <f>IF(Tabla1[[#This Row],[P/LC/CF/CL]]="P",Tabla1[[#This Row],[Hora fin ]]-Tabla1[[#This Row],[Hora inicio]],"")</f>
        <v>0.15625</v>
      </c>
      <c r="G80" s="19">
        <f>Tabla1[[#This Row],[Hora fin ]]-Tabla1[[#This Row],[Hora inicio]]</f>
        <v>0.15625</v>
      </c>
      <c r="H80" s="16">
        <f>WEEKNUM(Tabla1[[#This Row],[Día]])</f>
        <v>13</v>
      </c>
      <c r="J80" s="16">
        <f>IFERROR(((HOUR(Tabla1[[#This Row],[Tiempo producción]])*60+MINUTE(Tabla1[[#This Row],[Tiempo producción]]))/60)*$J$1,"")</f>
        <v>6750</v>
      </c>
      <c r="K80" s="21">
        <f>IFERROR(Tabla1[[#This Row],[Cantidad producida]]/Tabla1[[#This Row],[Cantidad teórica]],"")</f>
        <v>0</v>
      </c>
      <c r="L80" s="3"/>
      <c r="M80" s="23" t="str">
        <f>IF(Tabla1[[#This Row],[P/LC/CF/CL]]&lt;&gt;"P",Tabla1[[#This Row],[Hora fin ]]-Tabla1[[#This Row],[Hora inicio]],"")</f>
        <v/>
      </c>
      <c r="N80" t="str">
        <f>IF(Tabla1[[#This Row],[Cantidad producida]]&gt;Tabla1[[#This Row],[Cantidad teórica]],"SI","")</f>
        <v/>
      </c>
    </row>
    <row r="81" spans="1:14" x14ac:dyDescent="0.25">
      <c r="A81" s="2">
        <v>45741</v>
      </c>
      <c r="B81" s="3">
        <v>0.79166666666666663</v>
      </c>
      <c r="C81" s="3">
        <v>0.91666666666666663</v>
      </c>
      <c r="D81" s="19" t="str">
        <f>+IF(Tabla1[[#This Row],[Hora inicio]]&lt;$B$1,"Mañana","Tarde")</f>
        <v>Tarde</v>
      </c>
      <c r="E81" t="s">
        <v>122</v>
      </c>
      <c r="F81" s="19" t="str">
        <f>IF(Tabla1[[#This Row],[P/LC/CF/CL]]="P",Tabla1[[#This Row],[Hora fin ]]-Tabla1[[#This Row],[Hora inicio]],"")</f>
        <v/>
      </c>
      <c r="G81" s="19">
        <f>Tabla1[[#This Row],[Hora fin ]]-Tabla1[[#This Row],[Hora inicio]]</f>
        <v>0.125</v>
      </c>
      <c r="H81" s="16">
        <f>WEEKNUM(Tabla1[[#This Row],[Día]])</f>
        <v>13</v>
      </c>
      <c r="J81" s="16" t="str">
        <f>IFERROR(((HOUR(Tabla1[[#This Row],[Tiempo producción]])*60+MINUTE(Tabla1[[#This Row],[Tiempo producción]]))/60)*$J$1,"")</f>
        <v/>
      </c>
      <c r="K81" s="21" t="str">
        <f>IFERROR(Tabla1[[#This Row],[Cantidad producida]]/Tabla1[[#This Row],[Cantidad teórica]],"")</f>
        <v/>
      </c>
      <c r="L81" s="3"/>
      <c r="M81" s="23">
        <f>IF(Tabla1[[#This Row],[P/LC/CF/CL]]&lt;&gt;"P",Tabla1[[#This Row],[Hora fin ]]-Tabla1[[#This Row],[Hora inicio]],"")</f>
        <v>0.125</v>
      </c>
      <c r="N81" t="str">
        <f>IF(Tabla1[[#This Row],[Cantidad producida]]&gt;Tabla1[[#This Row],[Cantidad teórica]],"SI","")</f>
        <v/>
      </c>
    </row>
    <row r="82" spans="1:14" x14ac:dyDescent="0.25">
      <c r="A82" s="2">
        <v>45742</v>
      </c>
      <c r="B82" s="3">
        <v>0.26041666666666669</v>
      </c>
      <c r="C82" s="3">
        <v>0.36805555555555558</v>
      </c>
      <c r="D82" s="19" t="str">
        <f>+IF(Tabla1[[#This Row],[Hora inicio]]&lt;$B$1,"Mañana","Tarde")</f>
        <v>Mañana</v>
      </c>
      <c r="E82" t="s">
        <v>123</v>
      </c>
      <c r="F82" s="19" t="str">
        <f>IF(Tabla1[[#This Row],[P/LC/CF/CL]]="P",Tabla1[[#This Row],[Hora fin ]]-Tabla1[[#This Row],[Hora inicio]],"")</f>
        <v/>
      </c>
      <c r="G82" s="19">
        <f>Tabla1[[#This Row],[Hora fin ]]-Tabla1[[#This Row],[Hora inicio]]</f>
        <v>0.1076388888888889</v>
      </c>
      <c r="H82" s="16">
        <f>WEEKNUM(Tabla1[[#This Row],[Día]])</f>
        <v>13</v>
      </c>
      <c r="J82" s="16" t="str">
        <f>IFERROR(((HOUR(Tabla1[[#This Row],[Tiempo producción]])*60+MINUTE(Tabla1[[#This Row],[Tiempo producción]]))/60)*$J$1,"")</f>
        <v/>
      </c>
      <c r="K82" s="21" t="str">
        <f>IFERROR(Tabla1[[#This Row],[Cantidad producida]]/Tabla1[[#This Row],[Cantidad teórica]],"")</f>
        <v/>
      </c>
      <c r="L82" s="3"/>
      <c r="M82" s="23">
        <f>IF(Tabla1[[#This Row],[P/LC/CF/CL]]&lt;&gt;"P",Tabla1[[#This Row],[Hora fin ]]-Tabla1[[#This Row],[Hora inicio]],"")</f>
        <v>0.1076388888888889</v>
      </c>
      <c r="N82" t="str">
        <f>IF(Tabla1[[#This Row],[Cantidad producida]]&gt;Tabla1[[#This Row],[Cantidad teórica]],"SI","")</f>
        <v/>
      </c>
    </row>
    <row r="83" spans="1:14" x14ac:dyDescent="0.25">
      <c r="A83" s="2">
        <v>45742</v>
      </c>
      <c r="B83" s="3">
        <v>0.375</v>
      </c>
      <c r="C83" s="3">
        <v>0.5625</v>
      </c>
      <c r="D83" s="19" t="str">
        <f>+IF(Tabla1[[#This Row],[Hora inicio]]&lt;$B$1,"Mañana","Tarde")</f>
        <v>Mañana</v>
      </c>
      <c r="E83" t="s">
        <v>134</v>
      </c>
      <c r="F83" s="19">
        <f>IF(Tabla1[[#This Row],[P/LC/CF/CL]]="P",Tabla1[[#This Row],[Hora fin ]]-Tabla1[[#This Row],[Hora inicio]],"")</f>
        <v>0.1875</v>
      </c>
      <c r="G83" s="19">
        <f>Tabla1[[#This Row],[Hora fin ]]-Tabla1[[#This Row],[Hora inicio]]</f>
        <v>0.1875</v>
      </c>
      <c r="H83" s="16">
        <f>WEEKNUM(Tabla1[[#This Row],[Día]])</f>
        <v>13</v>
      </c>
      <c r="J83" s="16">
        <f>IFERROR(((HOUR(Tabla1[[#This Row],[Tiempo producción]])*60+MINUTE(Tabla1[[#This Row],[Tiempo producción]]))/60)*$J$1,"")</f>
        <v>8100</v>
      </c>
      <c r="K83" s="21">
        <f>IFERROR(Tabla1[[#This Row],[Cantidad producida]]/Tabla1[[#This Row],[Cantidad teórica]],"")</f>
        <v>0</v>
      </c>
      <c r="L83" s="3"/>
      <c r="M83" s="23" t="str">
        <f>IF(Tabla1[[#This Row],[P/LC/CF/CL]]&lt;&gt;"P",Tabla1[[#This Row],[Hora fin ]]-Tabla1[[#This Row],[Hora inicio]],"")</f>
        <v/>
      </c>
      <c r="N83" t="str">
        <f>IF(Tabla1[[#This Row],[Cantidad producida]]&gt;Tabla1[[#This Row],[Cantidad teórica]],"SI","")</f>
        <v/>
      </c>
    </row>
    <row r="84" spans="1:14" x14ac:dyDescent="0.25">
      <c r="A84" s="2">
        <v>45742</v>
      </c>
      <c r="B84" s="3">
        <v>0.61458333333333337</v>
      </c>
      <c r="C84" s="3">
        <v>0.89583333333333337</v>
      </c>
      <c r="D84" s="19" t="str">
        <f>+IF(Tabla1[[#This Row],[Hora inicio]]&lt;$B$1,"Mañana","Tarde")</f>
        <v>Tarde</v>
      </c>
      <c r="E84" t="s">
        <v>134</v>
      </c>
      <c r="F84" s="19">
        <f>IF(Tabla1[[#This Row],[P/LC/CF/CL]]="P",Tabla1[[#This Row],[Hora fin ]]-Tabla1[[#This Row],[Hora inicio]],"")</f>
        <v>0.28125</v>
      </c>
      <c r="G84" s="19">
        <f>Tabla1[[#This Row],[Hora fin ]]-Tabla1[[#This Row],[Hora inicio]]</f>
        <v>0.28125</v>
      </c>
      <c r="H84" s="16">
        <f>WEEKNUM(Tabla1[[#This Row],[Día]])</f>
        <v>13</v>
      </c>
      <c r="J84" s="16">
        <f>IFERROR(((HOUR(Tabla1[[#This Row],[Tiempo producción]])*60+MINUTE(Tabla1[[#This Row],[Tiempo producción]]))/60)*$J$1,"")</f>
        <v>12150</v>
      </c>
      <c r="K84" s="21">
        <f>IFERROR(Tabla1[[#This Row],[Cantidad producida]]/Tabla1[[#This Row],[Cantidad teórica]],"")</f>
        <v>0</v>
      </c>
      <c r="L84" s="3"/>
      <c r="M84" s="23" t="str">
        <f>IF(Tabla1[[#This Row],[P/LC/CF/CL]]&lt;&gt;"P",Tabla1[[#This Row],[Hora fin ]]-Tabla1[[#This Row],[Hora inicio]],"")</f>
        <v/>
      </c>
      <c r="N84" t="str">
        <f>IF(Tabla1[[#This Row],[Cantidad producida]]&gt;Tabla1[[#This Row],[Cantidad teórica]],"SI","")</f>
        <v/>
      </c>
    </row>
    <row r="85" spans="1:14" x14ac:dyDescent="0.25">
      <c r="A85" s="2">
        <v>45743</v>
      </c>
      <c r="B85" s="3">
        <v>0.2673611111111111</v>
      </c>
      <c r="C85" s="3">
        <v>0.5625</v>
      </c>
      <c r="D85" s="19" t="str">
        <f>+IF(Tabla1[[#This Row],[Hora inicio]]&lt;$B$1,"Mañana","Tarde")</f>
        <v>Mañana</v>
      </c>
      <c r="E85" t="s">
        <v>134</v>
      </c>
      <c r="F85" s="19">
        <f>IF(Tabla1[[#This Row],[P/LC/CF/CL]]="P",Tabla1[[#This Row],[Hora fin ]]-Tabla1[[#This Row],[Hora inicio]],"")</f>
        <v>0.2951388888888889</v>
      </c>
      <c r="G85" s="19">
        <f>Tabla1[[#This Row],[Hora fin ]]-Tabla1[[#This Row],[Hora inicio]]</f>
        <v>0.2951388888888889</v>
      </c>
      <c r="H85" s="16">
        <f>WEEKNUM(Tabla1[[#This Row],[Día]])</f>
        <v>13</v>
      </c>
      <c r="J85" s="16">
        <f>IFERROR(((HOUR(Tabla1[[#This Row],[Tiempo producción]])*60+MINUTE(Tabla1[[#This Row],[Tiempo producción]]))/60)*$J$1,"")</f>
        <v>12750</v>
      </c>
      <c r="K85" s="21">
        <f>IFERROR(Tabla1[[#This Row],[Cantidad producida]]/Tabla1[[#This Row],[Cantidad teórica]],"")</f>
        <v>0</v>
      </c>
      <c r="L85" s="3"/>
      <c r="M85" s="23" t="str">
        <f>IF(Tabla1[[#This Row],[P/LC/CF/CL]]&lt;&gt;"P",Tabla1[[#This Row],[Hora fin ]]-Tabla1[[#This Row],[Hora inicio]],"")</f>
        <v/>
      </c>
      <c r="N85" t="str">
        <f>IF(Tabla1[[#This Row],[Cantidad producida]]&gt;Tabla1[[#This Row],[Cantidad teórica]],"SI","")</f>
        <v/>
      </c>
    </row>
    <row r="86" spans="1:14" x14ac:dyDescent="0.25">
      <c r="A86" s="2">
        <v>45743</v>
      </c>
      <c r="B86" s="3">
        <v>0.59722222222222221</v>
      </c>
      <c r="C86" s="3">
        <v>0.89583333333333337</v>
      </c>
      <c r="D86" s="19" t="str">
        <f>+IF(Tabla1[[#This Row],[Hora inicio]]&lt;$B$1,"Mañana","Tarde")</f>
        <v>Tarde</v>
      </c>
      <c r="E86" t="s">
        <v>134</v>
      </c>
      <c r="F86" s="19">
        <f>IF(Tabla1[[#This Row],[P/LC/CF/CL]]="P",Tabla1[[#This Row],[Hora fin ]]-Tabla1[[#This Row],[Hora inicio]],"")</f>
        <v>0.29861111111111116</v>
      </c>
      <c r="G86" s="19">
        <f>Tabla1[[#This Row],[Hora fin ]]-Tabla1[[#This Row],[Hora inicio]]</f>
        <v>0.29861111111111116</v>
      </c>
      <c r="H86" s="16">
        <f>WEEKNUM(Tabla1[[#This Row],[Día]])</f>
        <v>13</v>
      </c>
      <c r="J86" s="16">
        <f>IFERROR(((HOUR(Tabla1[[#This Row],[Tiempo producción]])*60+MINUTE(Tabla1[[#This Row],[Tiempo producción]]))/60)*$J$1,"")</f>
        <v>12900</v>
      </c>
      <c r="K86" s="21">
        <f>IFERROR(Tabla1[[#This Row],[Cantidad producida]]/Tabla1[[#This Row],[Cantidad teórica]],"")</f>
        <v>0</v>
      </c>
      <c r="L86" s="3"/>
      <c r="M86" s="23" t="str">
        <f>IF(Tabla1[[#This Row],[P/LC/CF/CL]]&lt;&gt;"P",Tabla1[[#This Row],[Hora fin ]]-Tabla1[[#This Row],[Hora inicio]],"")</f>
        <v/>
      </c>
      <c r="N86" t="str">
        <f>IF(Tabla1[[#This Row],[Cantidad producida]]&gt;Tabla1[[#This Row],[Cantidad teórica]],"SI","")</f>
        <v/>
      </c>
    </row>
    <row r="87" spans="1:14" x14ac:dyDescent="0.25">
      <c r="A87" s="2">
        <v>45744</v>
      </c>
      <c r="B87" s="3">
        <v>0.26041666666666669</v>
      </c>
      <c r="C87" s="3">
        <v>0.28472222222222221</v>
      </c>
      <c r="D87" s="19" t="str">
        <f>+IF(Tabla1[[#This Row],[Hora inicio]]&lt;$B$1,"Mañana","Tarde")</f>
        <v>Mañana</v>
      </c>
      <c r="E87" t="s">
        <v>134</v>
      </c>
      <c r="F87" s="19">
        <f>IF(Tabla1[[#This Row],[P/LC/CF/CL]]="P",Tabla1[[#This Row],[Hora fin ]]-Tabla1[[#This Row],[Hora inicio]],"")</f>
        <v>2.4305555555555525E-2</v>
      </c>
      <c r="G87" s="19">
        <f>Tabla1[[#This Row],[Hora fin ]]-Tabla1[[#This Row],[Hora inicio]]</f>
        <v>2.4305555555555525E-2</v>
      </c>
      <c r="H87" s="16">
        <f>WEEKNUM(Tabla1[[#This Row],[Día]])</f>
        <v>13</v>
      </c>
      <c r="J87" s="16">
        <f>IFERROR(((HOUR(Tabla1[[#This Row],[Tiempo producción]])*60+MINUTE(Tabla1[[#This Row],[Tiempo producción]]))/60)*$J$1,"")</f>
        <v>1050</v>
      </c>
      <c r="K87" s="21">
        <f>IFERROR(Tabla1[[#This Row],[Cantidad producida]]/Tabla1[[#This Row],[Cantidad teórica]],"")</f>
        <v>0</v>
      </c>
      <c r="L87" s="3"/>
      <c r="M87" s="23" t="str">
        <f>IF(Tabla1[[#This Row],[P/LC/CF/CL]]&lt;&gt;"P",Tabla1[[#This Row],[Hora fin ]]-Tabla1[[#This Row],[Hora inicio]],"")</f>
        <v/>
      </c>
      <c r="N87" t="str">
        <f>IF(Tabla1[[#This Row],[Cantidad producida]]&gt;Tabla1[[#This Row],[Cantidad teórica]],"SI","")</f>
        <v/>
      </c>
    </row>
    <row r="88" spans="1:14" x14ac:dyDescent="0.25">
      <c r="A88" s="2">
        <v>45758</v>
      </c>
      <c r="B88" s="3">
        <v>0.41666666666666669</v>
      </c>
      <c r="C88" s="3">
        <v>0.77083333333333337</v>
      </c>
      <c r="D88" s="19" t="str">
        <f>+IF(Tabla1[[#This Row],[Hora inicio]]&lt;$B$1,"Mañana","Tarde")</f>
        <v>Mañana</v>
      </c>
      <c r="E88" t="s">
        <v>122</v>
      </c>
      <c r="F88" s="19" t="str">
        <f>IF(Tabla1[[#This Row],[P/LC/CF/CL]]="P",Tabla1[[#This Row],[Hora fin ]]-Tabla1[[#This Row],[Hora inicio]],"")</f>
        <v/>
      </c>
      <c r="G88" s="19">
        <f>Tabla1[[#This Row],[Hora fin ]]-Tabla1[[#This Row],[Hora inicio]]</f>
        <v>0.35416666666666669</v>
      </c>
      <c r="H88" s="16">
        <f>WEEKNUM(Tabla1[[#This Row],[Día]])</f>
        <v>15</v>
      </c>
      <c r="J88" s="16" t="str">
        <f>IFERROR(((HOUR(Tabla1[[#This Row],[Tiempo producción]])*60+MINUTE(Tabla1[[#This Row],[Tiempo producción]]))/60)*$J$1,"")</f>
        <v/>
      </c>
      <c r="K88" s="21" t="str">
        <f>IFERROR(Tabla1[[#This Row],[Cantidad producida]]/Tabla1[[#This Row],[Cantidad teórica]],"")</f>
        <v/>
      </c>
      <c r="L88" s="3"/>
      <c r="M88" s="23">
        <f>IF(Tabla1[[#This Row],[P/LC/CF/CL]]&lt;&gt;"P",Tabla1[[#This Row],[Hora fin ]]-Tabla1[[#This Row],[Hora inicio]],"")</f>
        <v>0.35416666666666669</v>
      </c>
      <c r="N88" t="str">
        <f>IF(Tabla1[[#This Row],[Cantidad producida]]&gt;Tabla1[[#This Row],[Cantidad teórica]],"SI","")</f>
        <v/>
      </c>
    </row>
    <row r="89" spans="1:14" x14ac:dyDescent="0.25">
      <c r="A89" s="2">
        <v>45761</v>
      </c>
      <c r="B89" s="3">
        <v>0.25</v>
      </c>
      <c r="C89" s="3">
        <v>0.77083333333333337</v>
      </c>
      <c r="D89" s="19" t="str">
        <f>+IF(Tabla1[[#This Row],[Hora inicio]]&lt;$B$1,"Mañana","Tarde")</f>
        <v>Mañana</v>
      </c>
      <c r="E89" t="s">
        <v>122</v>
      </c>
      <c r="F89" s="19" t="str">
        <f>IF(Tabla1[[#This Row],[P/LC/CF/CL]]="P",Tabla1[[#This Row],[Hora fin ]]-Tabla1[[#This Row],[Hora inicio]],"")</f>
        <v/>
      </c>
      <c r="G89" s="19">
        <f>Tabla1[[#This Row],[Hora fin ]]-Tabla1[[#This Row],[Hora inicio]]</f>
        <v>0.52083333333333337</v>
      </c>
      <c r="H89" s="16">
        <f>WEEKNUM(Tabla1[[#This Row],[Día]])</f>
        <v>16</v>
      </c>
      <c r="J89" s="16" t="str">
        <f>IFERROR(((HOUR(Tabla1[[#This Row],[Tiempo producción]])*60+MINUTE(Tabla1[[#This Row],[Tiempo producción]]))/60)*$J$1,"")</f>
        <v/>
      </c>
      <c r="K89" s="21" t="str">
        <f>IFERROR(Tabla1[[#This Row],[Cantidad producida]]/Tabla1[[#This Row],[Cantidad teórica]],"")</f>
        <v/>
      </c>
      <c r="L89" s="3"/>
      <c r="M89" s="23">
        <f>IF(Tabla1[[#This Row],[P/LC/CF/CL]]&lt;&gt;"P",Tabla1[[#This Row],[Hora fin ]]-Tabla1[[#This Row],[Hora inicio]],"")</f>
        <v>0.52083333333333337</v>
      </c>
      <c r="N89" t="str">
        <f>IF(Tabla1[[#This Row],[Cantidad producida]]&gt;Tabla1[[#This Row],[Cantidad teórica]],"SI","")</f>
        <v/>
      </c>
    </row>
    <row r="90" spans="1:14" x14ac:dyDescent="0.25">
      <c r="A90" s="2">
        <v>45762</v>
      </c>
      <c r="B90" s="3">
        <v>0.25</v>
      </c>
      <c r="C90" s="3">
        <v>0.77083333333333337</v>
      </c>
      <c r="D90" s="19" t="str">
        <f>+IF(Tabla1[[#This Row],[Hora inicio]]&lt;$B$1,"Mañana","Tarde")</f>
        <v>Mañana</v>
      </c>
      <c r="E90" t="s">
        <v>122</v>
      </c>
      <c r="F90" s="19" t="str">
        <f>IF(Tabla1[[#This Row],[P/LC/CF/CL]]="P",Tabla1[[#This Row],[Hora fin ]]-Tabla1[[#This Row],[Hora inicio]],"")</f>
        <v/>
      </c>
      <c r="G90" s="19">
        <f>Tabla1[[#This Row],[Hora fin ]]-Tabla1[[#This Row],[Hora inicio]]</f>
        <v>0.52083333333333337</v>
      </c>
      <c r="H90" s="16">
        <f>WEEKNUM(Tabla1[[#This Row],[Día]])</f>
        <v>16</v>
      </c>
      <c r="J90" s="16" t="str">
        <f>IFERROR(((HOUR(Tabla1[[#This Row],[Tiempo producción]])*60+MINUTE(Tabla1[[#This Row],[Tiempo producción]]))/60)*$J$1,"")</f>
        <v/>
      </c>
      <c r="K90" s="21" t="str">
        <f>IFERROR(Tabla1[[#This Row],[Cantidad producida]]/Tabla1[[#This Row],[Cantidad teórica]],"")</f>
        <v/>
      </c>
      <c r="L90" s="3"/>
      <c r="M90" s="23">
        <f>IF(Tabla1[[#This Row],[P/LC/CF/CL]]&lt;&gt;"P",Tabla1[[#This Row],[Hora fin ]]-Tabla1[[#This Row],[Hora inicio]],"")</f>
        <v>0.52083333333333337</v>
      </c>
      <c r="N90" t="str">
        <f>IF(Tabla1[[#This Row],[Cantidad producida]]&gt;Tabla1[[#This Row],[Cantidad teórica]],"SI","")</f>
        <v/>
      </c>
    </row>
    <row r="91" spans="1:14" x14ac:dyDescent="0.25">
      <c r="A91" s="2">
        <v>45763</v>
      </c>
      <c r="B91" s="3">
        <v>0.25</v>
      </c>
      <c r="C91" s="3">
        <v>0.77083333333333337</v>
      </c>
      <c r="D91" s="19" t="str">
        <f>+IF(Tabla1[[#This Row],[Hora inicio]]&lt;$B$1,"Mañana","Tarde")</f>
        <v>Mañana</v>
      </c>
      <c r="E91" t="s">
        <v>122</v>
      </c>
      <c r="F91" s="19" t="str">
        <f>IF(Tabla1[[#This Row],[P/LC/CF/CL]]="P",Tabla1[[#This Row],[Hora fin ]]-Tabla1[[#This Row],[Hora inicio]],"")</f>
        <v/>
      </c>
      <c r="G91" s="19">
        <f>Tabla1[[#This Row],[Hora fin ]]-Tabla1[[#This Row],[Hora inicio]]</f>
        <v>0.52083333333333337</v>
      </c>
      <c r="H91" s="16">
        <f>WEEKNUM(Tabla1[[#This Row],[Día]])</f>
        <v>16</v>
      </c>
      <c r="J91" s="16" t="str">
        <f>IFERROR(((HOUR(Tabla1[[#This Row],[Tiempo producción]])*60+MINUTE(Tabla1[[#This Row],[Tiempo producción]]))/60)*$J$1,"")</f>
        <v/>
      </c>
      <c r="K91" s="21" t="str">
        <f>IFERROR(Tabla1[[#This Row],[Cantidad producida]]/Tabla1[[#This Row],[Cantidad teórica]],"")</f>
        <v/>
      </c>
      <c r="L91" s="3"/>
      <c r="M91" s="23">
        <f>IF(Tabla1[[#This Row],[P/LC/CF/CL]]&lt;&gt;"P",Tabla1[[#This Row],[Hora fin ]]-Tabla1[[#This Row],[Hora inicio]],"")</f>
        <v>0.52083333333333337</v>
      </c>
      <c r="N91" t="str">
        <f>IF(Tabla1[[#This Row],[Cantidad producida]]&gt;Tabla1[[#This Row],[Cantidad teórica]],"SI","")</f>
        <v/>
      </c>
    </row>
    <row r="92" spans="1:14" x14ac:dyDescent="0.25">
      <c r="A92" s="2">
        <v>45769</v>
      </c>
      <c r="B92" s="3">
        <v>0.25</v>
      </c>
      <c r="C92" s="3">
        <v>0.58333333333333337</v>
      </c>
      <c r="D92" s="19" t="str">
        <f>+IF(Tabla1[[#This Row],[Hora inicio]]&lt;$B$1,"Mañana","Tarde")</f>
        <v>Mañana</v>
      </c>
      <c r="E92" t="s">
        <v>122</v>
      </c>
      <c r="F92" s="19" t="str">
        <f>IF(Tabla1[[#This Row],[P/LC/CF/CL]]="P",Tabla1[[#This Row],[Hora fin ]]-Tabla1[[#This Row],[Hora inicio]],"")</f>
        <v/>
      </c>
      <c r="G92" s="19">
        <f>Tabla1[[#This Row],[Hora fin ]]-Tabla1[[#This Row],[Hora inicio]]</f>
        <v>0.33333333333333337</v>
      </c>
      <c r="H92" s="16">
        <f>WEEKNUM(Tabla1[[#This Row],[Día]])</f>
        <v>17</v>
      </c>
      <c r="J92" s="16" t="str">
        <f>IFERROR(((HOUR(Tabla1[[#This Row],[Tiempo producción]])*60+MINUTE(Tabla1[[#This Row],[Tiempo producción]]))/60)*$J$1,"")</f>
        <v/>
      </c>
      <c r="K92" s="21" t="str">
        <f>IFERROR(Tabla1[[#This Row],[Cantidad producida]]/Tabla1[[#This Row],[Cantidad teórica]],"")</f>
        <v/>
      </c>
      <c r="L92" s="3"/>
      <c r="M92" s="23">
        <f>IF(Tabla1[[#This Row],[P/LC/CF/CL]]&lt;&gt;"P",Tabla1[[#This Row],[Hora fin ]]-Tabla1[[#This Row],[Hora inicio]],"")</f>
        <v>0.33333333333333337</v>
      </c>
      <c r="N92" t="str">
        <f>IF(Tabla1[[#This Row],[Cantidad producida]]&gt;Tabla1[[#This Row],[Cantidad teórica]],"SI","")</f>
        <v/>
      </c>
    </row>
    <row r="93" spans="1:14" x14ac:dyDescent="0.25">
      <c r="A93" s="2">
        <v>45769</v>
      </c>
      <c r="B93" s="3">
        <v>0.58333333333333337</v>
      </c>
      <c r="C93" s="3">
        <v>0.91666666666666663</v>
      </c>
      <c r="D93" s="19" t="str">
        <f>+IF(Tabla1[[#This Row],[Hora inicio]]&lt;$B$1,"Mañana","Tarde")</f>
        <v>Tarde</v>
      </c>
      <c r="E93" t="s">
        <v>134</v>
      </c>
      <c r="F93" s="19">
        <f>IF(Tabla1[[#This Row],[P/LC/CF/CL]]="P",Tabla1[[#This Row],[Hora fin ]]-Tabla1[[#This Row],[Hora inicio]],"")</f>
        <v>0.33333333333333326</v>
      </c>
      <c r="G93" s="19">
        <f>Tabla1[[#This Row],[Hora fin ]]-Tabla1[[#This Row],[Hora inicio]]</f>
        <v>0.33333333333333326</v>
      </c>
      <c r="H93" s="16">
        <f>WEEKNUM(Tabla1[[#This Row],[Día]])</f>
        <v>17</v>
      </c>
      <c r="I93" s="8">
        <v>1</v>
      </c>
      <c r="J93" s="16">
        <f>IFERROR(((HOUR(Tabla1[[#This Row],[Tiempo producción]])*60+MINUTE(Tabla1[[#This Row],[Tiempo producción]]))/60)*$J$1,"")</f>
        <v>14400</v>
      </c>
      <c r="K93" s="21">
        <f>IFERROR(Tabla1[[#This Row],[Cantidad producida]]/Tabla1[[#This Row],[Cantidad teórica]],"")</f>
        <v>6.9444444444444444E-5</v>
      </c>
      <c r="L93" s="3"/>
      <c r="M93" s="23" t="str">
        <f>IF(Tabla1[[#This Row],[P/LC/CF/CL]]&lt;&gt;"P",Tabla1[[#This Row],[Hora fin ]]-Tabla1[[#This Row],[Hora inicio]],"")</f>
        <v/>
      </c>
      <c r="N93" t="str">
        <f>IF(Tabla1[[#This Row],[Cantidad producida]]&gt;Tabla1[[#This Row],[Cantidad teórica]],"SI","")</f>
        <v/>
      </c>
    </row>
    <row r="94" spans="1:14" x14ac:dyDescent="0.25">
      <c r="A94" s="2">
        <v>45770</v>
      </c>
      <c r="B94" s="3">
        <v>0.25</v>
      </c>
      <c r="C94" s="3">
        <v>0.91666666666666663</v>
      </c>
      <c r="D94" s="19" t="str">
        <f>+IF(Tabla1[[#This Row],[Hora inicio]]&lt;$B$1,"Mañana","Tarde")</f>
        <v>Mañana</v>
      </c>
      <c r="E94" t="s">
        <v>134</v>
      </c>
      <c r="F94" s="19">
        <f>IF(Tabla1[[#This Row],[P/LC/CF/CL]]="P",Tabla1[[#This Row],[Hora fin ]]-Tabla1[[#This Row],[Hora inicio]],"")</f>
        <v>0.66666666666666663</v>
      </c>
      <c r="G94" s="19">
        <f>Tabla1[[#This Row],[Hora fin ]]-Tabla1[[#This Row],[Hora inicio]]</f>
        <v>0.66666666666666663</v>
      </c>
      <c r="H94" s="16">
        <f>WEEKNUM(Tabla1[[#This Row],[Día]])</f>
        <v>17</v>
      </c>
      <c r="J94" s="16">
        <f>IFERROR(((HOUR(Tabla1[[#This Row],[Tiempo producción]])*60+MINUTE(Tabla1[[#This Row],[Tiempo producción]]))/60)*$J$1,"")</f>
        <v>28800</v>
      </c>
      <c r="K94" s="21">
        <f>IFERROR(Tabla1[[#This Row],[Cantidad producida]]/Tabla1[[#This Row],[Cantidad teórica]],"")</f>
        <v>0</v>
      </c>
      <c r="L94" s="3"/>
      <c r="M94" s="23" t="str">
        <f>IF(Tabla1[[#This Row],[P/LC/CF/CL]]&lt;&gt;"P",Tabla1[[#This Row],[Hora fin ]]-Tabla1[[#This Row],[Hora inicio]],"")</f>
        <v/>
      </c>
      <c r="N94" t="str">
        <f>IF(Tabla1[[#This Row],[Cantidad producida]]&gt;Tabla1[[#This Row],[Cantidad teórica]],"SI","")</f>
        <v/>
      </c>
    </row>
    <row r="95" spans="1:14" x14ac:dyDescent="0.25">
      <c r="A95" s="2">
        <v>45771</v>
      </c>
      <c r="B95" s="3">
        <v>0.25</v>
      </c>
      <c r="C95" s="3">
        <v>0.91666666666666663</v>
      </c>
      <c r="D95" s="19" t="str">
        <f>+IF(Tabla1[[#This Row],[Hora inicio]]&lt;$B$1,"Mañana","Tarde")</f>
        <v>Mañana</v>
      </c>
      <c r="E95" t="s">
        <v>134</v>
      </c>
      <c r="F95" s="19">
        <f>IF(Tabla1[[#This Row],[P/LC/CF/CL]]="P",Tabla1[[#This Row],[Hora fin ]]-Tabla1[[#This Row],[Hora inicio]],"")</f>
        <v>0.66666666666666663</v>
      </c>
      <c r="G95" s="19">
        <f>Tabla1[[#This Row],[Hora fin ]]-Tabla1[[#This Row],[Hora inicio]]</f>
        <v>0.66666666666666663</v>
      </c>
      <c r="H95" s="16">
        <f>WEEKNUM(Tabla1[[#This Row],[Día]])</f>
        <v>17</v>
      </c>
      <c r="J95" s="16">
        <f>IFERROR(((HOUR(Tabla1[[#This Row],[Tiempo producción]])*60+MINUTE(Tabla1[[#This Row],[Tiempo producción]]))/60)*$J$1,"")</f>
        <v>28800</v>
      </c>
      <c r="K95" s="21">
        <f>IFERROR(Tabla1[[#This Row],[Cantidad producida]]/Tabla1[[#This Row],[Cantidad teórica]],"")</f>
        <v>0</v>
      </c>
      <c r="L95" s="3"/>
      <c r="M95" s="23" t="str">
        <f>IF(Tabla1[[#This Row],[P/LC/CF/CL]]&lt;&gt;"P",Tabla1[[#This Row],[Hora fin ]]-Tabla1[[#This Row],[Hora inicio]],"")</f>
        <v/>
      </c>
      <c r="N95" t="str">
        <f>IF(Tabla1[[#This Row],[Cantidad producida]]&gt;Tabla1[[#This Row],[Cantidad teórica]],"SI","")</f>
        <v/>
      </c>
    </row>
    <row r="96" spans="1:14" x14ac:dyDescent="0.25">
      <c r="A96" s="2">
        <v>45772</v>
      </c>
      <c r="B96" s="3">
        <v>0.25</v>
      </c>
      <c r="C96" s="3">
        <v>0.58333333333333337</v>
      </c>
      <c r="D96" s="19" t="str">
        <f>+IF(Tabla1[[#This Row],[Hora inicio]]&lt;$B$1,"Mañana","Tarde")</f>
        <v>Mañana</v>
      </c>
      <c r="E96" t="s">
        <v>134</v>
      </c>
      <c r="F96" s="19">
        <f>IF(Tabla1[[#This Row],[P/LC/CF/CL]]="P",Tabla1[[#This Row],[Hora fin ]]-Tabla1[[#This Row],[Hora inicio]],"")</f>
        <v>0.33333333333333337</v>
      </c>
      <c r="G96" s="19">
        <f>Tabla1[[#This Row],[Hora fin ]]-Tabla1[[#This Row],[Hora inicio]]</f>
        <v>0.33333333333333337</v>
      </c>
      <c r="H96" s="16">
        <f>WEEKNUM(Tabla1[[#This Row],[Día]])</f>
        <v>17</v>
      </c>
      <c r="J96" s="16">
        <f>IFERROR(((HOUR(Tabla1[[#This Row],[Tiempo producción]])*60+MINUTE(Tabla1[[#This Row],[Tiempo producción]]))/60)*$J$1,"")</f>
        <v>14400</v>
      </c>
      <c r="K96" s="21">
        <f>IFERROR(Tabla1[[#This Row],[Cantidad producida]]/Tabla1[[#This Row],[Cantidad teórica]],"")</f>
        <v>0</v>
      </c>
      <c r="L96" s="3"/>
      <c r="M96" s="23" t="str">
        <f>IF(Tabla1[[#This Row],[P/LC/CF/CL]]&lt;&gt;"P",Tabla1[[#This Row],[Hora fin ]]-Tabla1[[#This Row],[Hora inicio]],"")</f>
        <v/>
      </c>
      <c r="N96" t="str">
        <f>IF(Tabla1[[#This Row],[Cantidad producida]]&gt;Tabla1[[#This Row],[Cantidad teórica]],"SI","")</f>
        <v/>
      </c>
    </row>
    <row r="97" spans="1:14" x14ac:dyDescent="0.25">
      <c r="A97" s="2">
        <v>45772</v>
      </c>
      <c r="B97" s="3">
        <v>0.71875</v>
      </c>
      <c r="C97" s="3">
        <v>0.82291666666666663</v>
      </c>
      <c r="D97" s="19" t="str">
        <f>+IF(Tabla1[[#This Row],[Hora inicio]]&lt;$B$1,"Mañana","Tarde")</f>
        <v>Tarde</v>
      </c>
      <c r="E97" t="s">
        <v>123</v>
      </c>
      <c r="F97" s="19" t="str">
        <f>IF(Tabla1[[#This Row],[P/LC/CF/CL]]="P",Tabla1[[#This Row],[Hora fin ]]-Tabla1[[#This Row],[Hora inicio]],"")</f>
        <v/>
      </c>
      <c r="G97" s="19">
        <f>Tabla1[[#This Row],[Hora fin ]]-Tabla1[[#This Row],[Hora inicio]]</f>
        <v>0.10416666666666663</v>
      </c>
      <c r="H97" s="16">
        <f>WEEKNUM(Tabla1[[#This Row],[Día]])</f>
        <v>17</v>
      </c>
      <c r="J97" s="16" t="str">
        <f>IFERROR(((HOUR(Tabla1[[#This Row],[Tiempo producción]])*60+MINUTE(Tabla1[[#This Row],[Tiempo producción]]))/60)*$J$1,"")</f>
        <v/>
      </c>
      <c r="K97" s="21" t="str">
        <f>IFERROR(Tabla1[[#This Row],[Cantidad producida]]/Tabla1[[#This Row],[Cantidad teórica]],"")</f>
        <v/>
      </c>
      <c r="L97" s="3"/>
      <c r="M97" s="23">
        <f>IF(Tabla1[[#This Row],[P/LC/CF/CL]]&lt;&gt;"P",Tabla1[[#This Row],[Hora fin ]]-Tabla1[[#This Row],[Hora inicio]],"")</f>
        <v>0.10416666666666663</v>
      </c>
      <c r="N97" t="str">
        <f>IF(Tabla1[[#This Row],[Cantidad producida]]&gt;Tabla1[[#This Row],[Cantidad teórica]],"SI","")</f>
        <v/>
      </c>
    </row>
    <row r="98" spans="1:14" x14ac:dyDescent="0.25">
      <c r="A98" s="2">
        <v>45772</v>
      </c>
      <c r="B98" s="3">
        <v>0.83333333333333337</v>
      </c>
      <c r="C98" s="3">
        <v>0.90277777777777779</v>
      </c>
      <c r="D98" s="19" t="str">
        <f>+IF(Tabla1[[#This Row],[Hora inicio]]&lt;$B$1,"Mañana","Tarde")</f>
        <v>Tarde</v>
      </c>
      <c r="E98" t="s">
        <v>134</v>
      </c>
      <c r="F98" s="19">
        <f>IF(Tabla1[[#This Row],[P/LC/CF/CL]]="P",Tabla1[[#This Row],[Hora fin ]]-Tabla1[[#This Row],[Hora inicio]],"")</f>
        <v>6.944444444444442E-2</v>
      </c>
      <c r="G98" s="19">
        <f>Tabla1[[#This Row],[Hora fin ]]-Tabla1[[#This Row],[Hora inicio]]</f>
        <v>6.944444444444442E-2</v>
      </c>
      <c r="H98" s="16">
        <f>WEEKNUM(Tabla1[[#This Row],[Día]])</f>
        <v>17</v>
      </c>
      <c r="J98" s="16">
        <f>IFERROR(((HOUR(Tabla1[[#This Row],[Tiempo producción]])*60+MINUTE(Tabla1[[#This Row],[Tiempo producción]]))/60)*$J$1,"")</f>
        <v>3000</v>
      </c>
      <c r="K98" s="21">
        <f>IFERROR(Tabla1[[#This Row],[Cantidad producida]]/Tabla1[[#This Row],[Cantidad teórica]],"")</f>
        <v>0</v>
      </c>
      <c r="L98" s="3"/>
      <c r="M98" s="23" t="str">
        <f>IF(Tabla1[[#This Row],[P/LC/CF/CL]]&lt;&gt;"P",Tabla1[[#This Row],[Hora fin ]]-Tabla1[[#This Row],[Hora inicio]],"")</f>
        <v/>
      </c>
      <c r="N98" t="str">
        <f>IF(Tabla1[[#This Row],[Cantidad producida]]&gt;Tabla1[[#This Row],[Cantidad teórica]],"SI","")</f>
        <v/>
      </c>
    </row>
    <row r="99" spans="1:14" x14ac:dyDescent="0.25">
      <c r="A99" s="2">
        <v>45775</v>
      </c>
      <c r="B99" s="3">
        <v>0.29166666666666669</v>
      </c>
      <c r="C99" s="3">
        <v>0.52083333333333337</v>
      </c>
      <c r="D99" s="19" t="str">
        <f>+IF(Tabla1[[#This Row],[Hora inicio]]&lt;$B$1,"Mañana","Tarde")</f>
        <v>Mañana</v>
      </c>
      <c r="E99" t="s">
        <v>134</v>
      </c>
      <c r="F99" s="19">
        <f>IF(Tabla1[[#This Row],[P/LC/CF/CL]]="P",Tabla1[[#This Row],[Hora fin ]]-Tabla1[[#This Row],[Hora inicio]],"")</f>
        <v>0.22916666666666669</v>
      </c>
      <c r="G99" s="19">
        <f>Tabla1[[#This Row],[Hora fin ]]-Tabla1[[#This Row],[Hora inicio]]</f>
        <v>0.22916666666666669</v>
      </c>
      <c r="H99" s="16">
        <f>WEEKNUM(Tabla1[[#This Row],[Día]])</f>
        <v>18</v>
      </c>
      <c r="J99" s="16">
        <f>IFERROR(((HOUR(Tabla1[[#This Row],[Tiempo producción]])*60+MINUTE(Tabla1[[#This Row],[Tiempo producción]]))/60)*$J$1,"")</f>
        <v>9900</v>
      </c>
      <c r="K99" s="21">
        <f>IFERROR(Tabla1[[#This Row],[Cantidad producida]]/Tabla1[[#This Row],[Cantidad teórica]],"")</f>
        <v>0</v>
      </c>
      <c r="L99" s="3" t="s">
        <v>135</v>
      </c>
      <c r="M99" s="23" t="str">
        <f>IF(Tabla1[[#This Row],[P/LC/CF/CL]]&lt;&gt;"P",Tabla1[[#This Row],[Hora fin ]]-Tabla1[[#This Row],[Hora inicio]],"")</f>
        <v/>
      </c>
      <c r="N99" t="str">
        <f>IF(Tabla1[[#This Row],[Cantidad producida]]&gt;Tabla1[[#This Row],[Cantidad teórica]],"SI","")</f>
        <v/>
      </c>
    </row>
    <row r="100" spans="1:14" x14ac:dyDescent="0.25">
      <c r="A100" s="2">
        <v>45775</v>
      </c>
      <c r="B100" s="3">
        <v>0.6875</v>
      </c>
      <c r="C100" s="3">
        <v>0.89583333333333337</v>
      </c>
      <c r="D100" s="19" t="str">
        <f>+IF(Tabla1[[#This Row],[Hora inicio]]&lt;$B$1,"Mañana","Tarde")</f>
        <v>Tarde</v>
      </c>
      <c r="E100" t="s">
        <v>134</v>
      </c>
      <c r="F100" s="19">
        <f>IF(Tabla1[[#This Row],[P/LC/CF/CL]]="P",Tabla1[[#This Row],[Hora fin ]]-Tabla1[[#This Row],[Hora inicio]],"")</f>
        <v>0.20833333333333337</v>
      </c>
      <c r="G100" s="19">
        <f>Tabla1[[#This Row],[Hora fin ]]-Tabla1[[#This Row],[Hora inicio]]</f>
        <v>0.20833333333333337</v>
      </c>
      <c r="H100" s="16">
        <f>WEEKNUM(Tabla1[[#This Row],[Día]])</f>
        <v>18</v>
      </c>
      <c r="J100" s="16">
        <f>IFERROR(((HOUR(Tabla1[[#This Row],[Tiempo producción]])*60+MINUTE(Tabla1[[#This Row],[Tiempo producción]]))/60)*$J$1,"")</f>
        <v>9000</v>
      </c>
      <c r="K100" s="21">
        <f>IFERROR(Tabla1[[#This Row],[Cantidad producida]]/Tabla1[[#This Row],[Cantidad teórica]],"")</f>
        <v>0</v>
      </c>
      <c r="L100" s="3" t="s">
        <v>136</v>
      </c>
      <c r="M100" s="23" t="str">
        <f>IF(Tabla1[[#This Row],[P/LC/CF/CL]]&lt;&gt;"P",Tabla1[[#This Row],[Hora fin ]]-Tabla1[[#This Row],[Hora inicio]],"")</f>
        <v/>
      </c>
      <c r="N100" t="str">
        <f>IF(Tabla1[[#This Row],[Cantidad producida]]&gt;Tabla1[[#This Row],[Cantidad teórica]],"SI","")</f>
        <v/>
      </c>
    </row>
    <row r="101" spans="1:14" x14ac:dyDescent="0.25">
      <c r="A101" s="2">
        <v>45776</v>
      </c>
      <c r="B101" s="3">
        <v>0.28125</v>
      </c>
      <c r="C101" s="3">
        <v>0.4375</v>
      </c>
      <c r="D101" s="19" t="str">
        <f>+IF(Tabla1[[#This Row],[Hora inicio]]&lt;$B$1,"Mañana","Tarde")</f>
        <v>Mañana</v>
      </c>
      <c r="E101" t="s">
        <v>134</v>
      </c>
      <c r="F101" s="19">
        <f>IF(Tabla1[[#This Row],[P/LC/CF/CL]]="P",Tabla1[[#This Row],[Hora fin ]]-Tabla1[[#This Row],[Hora inicio]],"")</f>
        <v>0.15625</v>
      </c>
      <c r="G101" s="19">
        <f>Tabla1[[#This Row],[Hora fin ]]-Tabla1[[#This Row],[Hora inicio]]</f>
        <v>0.15625</v>
      </c>
      <c r="H101" s="16">
        <f>WEEKNUM(Tabla1[[#This Row],[Día]])</f>
        <v>18</v>
      </c>
      <c r="J101" s="16">
        <f>IFERROR(((HOUR(Tabla1[[#This Row],[Tiempo producción]])*60+MINUTE(Tabla1[[#This Row],[Tiempo producción]]))/60)*$J$1,"")</f>
        <v>6750</v>
      </c>
      <c r="K101" s="21">
        <f>IFERROR(Tabla1[[#This Row],[Cantidad producida]]/Tabla1[[#This Row],[Cantidad teórica]],"")</f>
        <v>0</v>
      </c>
      <c r="L101" s="3"/>
      <c r="M101" s="23" t="str">
        <f>IF(Tabla1[[#This Row],[P/LC/CF/CL]]&lt;&gt;"P",Tabla1[[#This Row],[Hora fin ]]-Tabla1[[#This Row],[Hora inicio]],"")</f>
        <v/>
      </c>
      <c r="N101" t="str">
        <f>IF(Tabla1[[#This Row],[Cantidad producida]]&gt;Tabla1[[#This Row],[Cantidad teórica]],"SI","")</f>
        <v/>
      </c>
    </row>
    <row r="102" spans="1:14" x14ac:dyDescent="0.25">
      <c r="A102" s="2">
        <v>45776</v>
      </c>
      <c r="B102" s="3">
        <v>0.69444444444444442</v>
      </c>
      <c r="C102" s="3">
        <v>0.84027777777777779</v>
      </c>
      <c r="D102" s="19" t="str">
        <f>+IF(Tabla1[[#This Row],[Hora inicio]]&lt;$B$1,"Mañana","Tarde")</f>
        <v>Tarde</v>
      </c>
      <c r="E102" t="s">
        <v>134</v>
      </c>
      <c r="F102" s="19">
        <f>IF(Tabla1[[#This Row],[P/LC/CF/CL]]="P",Tabla1[[#This Row],[Hora fin ]]-Tabla1[[#This Row],[Hora inicio]],"")</f>
        <v>0.14583333333333337</v>
      </c>
      <c r="G102" s="19">
        <f>Tabla1[[#This Row],[Hora fin ]]-Tabla1[[#This Row],[Hora inicio]]</f>
        <v>0.14583333333333337</v>
      </c>
      <c r="H102" s="16">
        <f>WEEKNUM(Tabla1[[#This Row],[Día]])</f>
        <v>18</v>
      </c>
      <c r="J102" s="16">
        <f>IFERROR(((HOUR(Tabla1[[#This Row],[Tiempo producción]])*60+MINUTE(Tabla1[[#This Row],[Tiempo producción]]))/60)*$J$1,"")</f>
        <v>6300</v>
      </c>
      <c r="K102" s="21">
        <f>IFERROR(Tabla1[[#This Row],[Cantidad producida]]/Tabla1[[#This Row],[Cantidad teórica]],"")</f>
        <v>0</v>
      </c>
      <c r="L102" s="3"/>
      <c r="M102" s="23" t="str">
        <f>IF(Tabla1[[#This Row],[P/LC/CF/CL]]&lt;&gt;"P",Tabla1[[#This Row],[Hora fin ]]-Tabla1[[#This Row],[Hora inicio]],"")</f>
        <v/>
      </c>
      <c r="N102" t="str">
        <f>IF(Tabla1[[#This Row],[Cantidad producida]]&gt;Tabla1[[#This Row],[Cantidad teórica]],"SI","")</f>
        <v/>
      </c>
    </row>
    <row r="103" spans="1:14" x14ac:dyDescent="0.25">
      <c r="A103" s="2">
        <v>45777</v>
      </c>
      <c r="B103" s="3">
        <v>0.33333333333333331</v>
      </c>
      <c r="C103" s="3">
        <v>0.5625</v>
      </c>
      <c r="D103" s="19" t="str">
        <f>+IF(Tabla1[[#This Row],[Hora inicio]]&lt;$B$1,"Mañana","Tarde")</f>
        <v>Mañana</v>
      </c>
      <c r="E103" t="s">
        <v>134</v>
      </c>
      <c r="F103" s="19">
        <f>IF(Tabla1[[#This Row],[P/LC/CF/CL]]="P",Tabla1[[#This Row],[Hora fin ]]-Tabla1[[#This Row],[Hora inicio]],"")</f>
        <v>0.22916666666666669</v>
      </c>
      <c r="G103" s="19">
        <f>Tabla1[[#This Row],[Hora fin ]]-Tabla1[[#This Row],[Hora inicio]]</f>
        <v>0.22916666666666669</v>
      </c>
      <c r="H103" s="16">
        <f>WEEKNUM(Tabla1[[#This Row],[Día]])</f>
        <v>18</v>
      </c>
      <c r="J103" s="16">
        <f>IFERROR(((HOUR(Tabla1[[#This Row],[Tiempo producción]])*60+MINUTE(Tabla1[[#This Row],[Tiempo producción]]))/60)*$J$1,"")</f>
        <v>9900</v>
      </c>
      <c r="K103" s="21">
        <f>IFERROR(Tabla1[[#This Row],[Cantidad producida]]/Tabla1[[#This Row],[Cantidad teórica]],"")</f>
        <v>0</v>
      </c>
      <c r="L103" s="3"/>
      <c r="M103" s="23" t="str">
        <f>IF(Tabla1[[#This Row],[P/LC/CF/CL]]&lt;&gt;"P",Tabla1[[#This Row],[Hora fin ]]-Tabla1[[#This Row],[Hora inicio]],"")</f>
        <v/>
      </c>
      <c r="N103" t="str">
        <f>IF(Tabla1[[#This Row],[Cantidad producida]]&gt;Tabla1[[#This Row],[Cantidad teórica]],"SI","")</f>
        <v/>
      </c>
    </row>
    <row r="104" spans="1:14" x14ac:dyDescent="0.25">
      <c r="A104" s="2">
        <v>45777</v>
      </c>
      <c r="B104" s="3">
        <v>0.59027777777777779</v>
      </c>
      <c r="C104" s="3">
        <v>0.84375</v>
      </c>
      <c r="D104" s="19" t="str">
        <f>+IF(Tabla1[[#This Row],[Hora inicio]]&lt;$B$1,"Mañana","Tarde")</f>
        <v>Tarde</v>
      </c>
      <c r="E104" t="s">
        <v>134</v>
      </c>
      <c r="F104" s="19">
        <f>IF(Tabla1[[#This Row],[P/LC/CF/CL]]="P",Tabla1[[#This Row],[Hora fin ]]-Tabla1[[#This Row],[Hora inicio]],"")</f>
        <v>0.25347222222222221</v>
      </c>
      <c r="G104" s="19">
        <f>Tabla1[[#This Row],[Hora fin ]]-Tabla1[[#This Row],[Hora inicio]]</f>
        <v>0.25347222222222221</v>
      </c>
      <c r="H104" s="16">
        <f>WEEKNUM(Tabla1[[#This Row],[Día]])</f>
        <v>18</v>
      </c>
      <c r="J104" s="16">
        <f>IFERROR(((HOUR(Tabla1[[#This Row],[Tiempo producción]])*60+MINUTE(Tabla1[[#This Row],[Tiempo producción]]))/60)*$J$1,"")</f>
        <v>10950</v>
      </c>
      <c r="K104" s="21">
        <f>IFERROR(Tabla1[[#This Row],[Cantidad producida]]/Tabla1[[#This Row],[Cantidad teórica]],"")</f>
        <v>0</v>
      </c>
      <c r="L104" s="3"/>
      <c r="M104" s="23" t="str">
        <f>IF(Tabla1[[#This Row],[P/LC/CF/CL]]&lt;&gt;"P",Tabla1[[#This Row],[Hora fin ]]-Tabla1[[#This Row],[Hora inicio]],"")</f>
        <v/>
      </c>
      <c r="N104" t="str">
        <f>IF(Tabla1[[#This Row],[Cantidad producida]]&gt;Tabla1[[#This Row],[Cantidad teórica]],"SI","")</f>
        <v/>
      </c>
    </row>
    <row r="105" spans="1:14" x14ac:dyDescent="0.25">
      <c r="A105" s="2">
        <v>45779</v>
      </c>
      <c r="B105" s="3">
        <v>0.38194444444444442</v>
      </c>
      <c r="C105" s="3">
        <v>0.40625</v>
      </c>
      <c r="D105" s="19" t="str">
        <f>+IF(Tabla1[[#This Row],[Hora inicio]]&lt;$B$1,"Mañana","Tarde")</f>
        <v>Mañana</v>
      </c>
      <c r="E105" t="s">
        <v>124</v>
      </c>
      <c r="F105" s="19" t="str">
        <f>IF(Tabla1[[#This Row],[P/LC/CF/CL]]="P",Tabla1[[#This Row],[Hora fin ]]-Tabla1[[#This Row],[Hora inicio]],"")</f>
        <v/>
      </c>
      <c r="G105" s="19">
        <f>Tabla1[[#This Row],[Hora fin ]]-Tabla1[[#This Row],[Hora inicio]]</f>
        <v>2.430555555555558E-2</v>
      </c>
      <c r="H105" s="16">
        <f>WEEKNUM(Tabla1[[#This Row],[Día]])</f>
        <v>18</v>
      </c>
      <c r="J105" s="16" t="str">
        <f>IFERROR(((HOUR(Tabla1[[#This Row],[Tiempo producción]])*60+MINUTE(Tabla1[[#This Row],[Tiempo producción]]))/60)*$J$1,"")</f>
        <v/>
      </c>
      <c r="K105" s="21" t="str">
        <f>IFERROR(Tabla1[[#This Row],[Cantidad producida]]/Tabla1[[#This Row],[Cantidad teórica]],"")</f>
        <v/>
      </c>
      <c r="L105" s="3"/>
      <c r="M105" s="23">
        <f>IF(Tabla1[[#This Row],[P/LC/CF/CL]]&lt;&gt;"P",Tabla1[[#This Row],[Hora fin ]]-Tabla1[[#This Row],[Hora inicio]],"")</f>
        <v>2.430555555555558E-2</v>
      </c>
      <c r="N105" t="str">
        <f>IF(Tabla1[[#This Row],[Cantidad producida]]&gt;Tabla1[[#This Row],[Cantidad teórica]],"SI","")</f>
        <v/>
      </c>
    </row>
    <row r="106" spans="1:14" x14ac:dyDescent="0.25">
      <c r="A106" s="2">
        <v>45779</v>
      </c>
      <c r="B106" s="3">
        <v>0.40625</v>
      </c>
      <c r="C106" s="3">
        <v>0.5625</v>
      </c>
      <c r="D106" s="19" t="str">
        <f>+IF(Tabla1[[#This Row],[Hora inicio]]&lt;$B$1,"Mañana","Tarde")</f>
        <v>Mañana</v>
      </c>
      <c r="E106" t="s">
        <v>134</v>
      </c>
      <c r="F106" s="19">
        <f>IF(Tabla1[[#This Row],[P/LC/CF/CL]]="P",Tabla1[[#This Row],[Hora fin ]]-Tabla1[[#This Row],[Hora inicio]],"")</f>
        <v>0.15625</v>
      </c>
      <c r="G106" s="19">
        <f>Tabla1[[#This Row],[Hora fin ]]-Tabla1[[#This Row],[Hora inicio]]</f>
        <v>0.15625</v>
      </c>
      <c r="H106" s="16">
        <f>WEEKNUM(Tabla1[[#This Row],[Día]])</f>
        <v>18</v>
      </c>
      <c r="J106" s="16">
        <f>IFERROR(((HOUR(Tabla1[[#This Row],[Tiempo producción]])*60+MINUTE(Tabla1[[#This Row],[Tiempo producción]]))/60)*$J$1,"")</f>
        <v>6750</v>
      </c>
      <c r="K106" s="21">
        <f>IFERROR(Tabla1[[#This Row],[Cantidad producida]]/Tabla1[[#This Row],[Cantidad teórica]],"")</f>
        <v>0</v>
      </c>
      <c r="L106" s="3"/>
      <c r="M106" s="23" t="str">
        <f>IF(Tabla1[[#This Row],[P/LC/CF/CL]]&lt;&gt;"P",Tabla1[[#This Row],[Hora fin ]]-Tabla1[[#This Row],[Hora inicio]],"")</f>
        <v/>
      </c>
      <c r="N106" t="str">
        <f>IF(Tabla1[[#This Row],[Cantidad producida]]&gt;Tabla1[[#This Row],[Cantidad teórica]],"SI","")</f>
        <v/>
      </c>
    </row>
    <row r="107" spans="1:14" x14ac:dyDescent="0.25">
      <c r="A107" s="2">
        <v>45779</v>
      </c>
      <c r="B107" s="3">
        <v>0.29166666666666669</v>
      </c>
      <c r="C107" s="3">
        <v>0.38194444444444442</v>
      </c>
      <c r="D107" s="19" t="str">
        <f>+IF(Tabla1[[#This Row],[Hora inicio]]&lt;$B$1,"Mañana","Tarde")</f>
        <v>Mañana</v>
      </c>
      <c r="E107" t="s">
        <v>134</v>
      </c>
      <c r="F107" s="19">
        <f>IF(Tabla1[[#This Row],[P/LC/CF/CL]]="P",Tabla1[[#This Row],[Hora fin ]]-Tabla1[[#This Row],[Hora inicio]],"")</f>
        <v>9.0277777777777735E-2</v>
      </c>
      <c r="G107" s="19">
        <f>Tabla1[[#This Row],[Hora fin ]]-Tabla1[[#This Row],[Hora inicio]]</f>
        <v>9.0277777777777735E-2</v>
      </c>
      <c r="H107" s="16">
        <f>WEEKNUM(Tabla1[[#This Row],[Día]])</f>
        <v>18</v>
      </c>
      <c r="J107" s="16">
        <f>IFERROR(((HOUR(Tabla1[[#This Row],[Tiempo producción]])*60+MINUTE(Tabla1[[#This Row],[Tiempo producción]]))/60)*$J$1,"")</f>
        <v>3899.9999999999995</v>
      </c>
      <c r="K107" s="21">
        <f>IFERROR(Tabla1[[#This Row],[Cantidad producida]]/Tabla1[[#This Row],[Cantidad teórica]],"")</f>
        <v>0</v>
      </c>
      <c r="L107" s="3"/>
      <c r="M107" s="23" t="str">
        <f>IF(Tabla1[[#This Row],[P/LC/CF/CL]]&lt;&gt;"P",Tabla1[[#This Row],[Hora fin ]]-Tabla1[[#This Row],[Hora inicio]],"")</f>
        <v/>
      </c>
      <c r="N107" t="str">
        <f>IF(Tabla1[[#This Row],[Cantidad producida]]&gt;Tabla1[[#This Row],[Cantidad teórica]],"SI","")</f>
        <v/>
      </c>
    </row>
    <row r="108" spans="1:14" x14ac:dyDescent="0.25">
      <c r="A108" s="2">
        <v>45782</v>
      </c>
      <c r="B108" s="3">
        <v>0.29166666666666669</v>
      </c>
      <c r="C108" s="3">
        <v>0.54861111111111116</v>
      </c>
      <c r="D108" s="19" t="str">
        <f>+IF(Tabla1[[#This Row],[Hora inicio]]&lt;$B$1,"Mañana","Tarde")</f>
        <v>Mañana</v>
      </c>
      <c r="E108" t="s">
        <v>134</v>
      </c>
      <c r="F108" s="19">
        <f>IF(Tabla1[[#This Row],[P/LC/CF/CL]]="P",Tabla1[[#This Row],[Hora fin ]]-Tabla1[[#This Row],[Hora inicio]],"")</f>
        <v>0.25694444444444448</v>
      </c>
      <c r="G108" s="19">
        <f>Tabla1[[#This Row],[Hora fin ]]-Tabla1[[#This Row],[Hora inicio]]</f>
        <v>0.25694444444444448</v>
      </c>
      <c r="H108" s="16">
        <f>WEEKNUM(Tabla1[[#This Row],[Día]])</f>
        <v>19</v>
      </c>
      <c r="J108" s="16">
        <f>IFERROR(((HOUR(Tabla1[[#This Row],[Tiempo producción]])*60+MINUTE(Tabla1[[#This Row],[Tiempo producción]]))/60)*$J$1,"")</f>
        <v>11100</v>
      </c>
      <c r="K108" s="21">
        <f>IFERROR(Tabla1[[#This Row],[Cantidad producida]]/Tabla1[[#This Row],[Cantidad teórica]],"")</f>
        <v>0</v>
      </c>
      <c r="L108" s="3"/>
      <c r="M108" s="23" t="str">
        <f>IF(Tabla1[[#This Row],[P/LC/CF/CL]]&lt;&gt;"P",Tabla1[[#This Row],[Hora fin ]]-Tabla1[[#This Row],[Hora inicio]],"")</f>
        <v/>
      </c>
      <c r="N108" t="str">
        <f>IF(Tabla1[[#This Row],[Cantidad producida]]&gt;Tabla1[[#This Row],[Cantidad teórica]],"SI","")</f>
        <v/>
      </c>
    </row>
    <row r="109" spans="1:14" x14ac:dyDescent="0.25">
      <c r="A109" s="2">
        <v>45782</v>
      </c>
      <c r="B109" s="3">
        <v>0.59375</v>
      </c>
      <c r="C109" s="3">
        <v>0.68055555555555558</v>
      </c>
      <c r="D109" s="19" t="str">
        <f>+IF(Tabla1[[#This Row],[Hora inicio]]&lt;$B$1,"Mañana","Tarde")</f>
        <v>Tarde</v>
      </c>
      <c r="E109" t="s">
        <v>134</v>
      </c>
      <c r="F109" s="19">
        <f>IF(Tabla1[[#This Row],[P/LC/CF/CL]]="P",Tabla1[[#This Row],[Hora fin ]]-Tabla1[[#This Row],[Hora inicio]],"")</f>
        <v>8.680555555555558E-2</v>
      </c>
      <c r="G109" s="19">
        <f>Tabla1[[#This Row],[Hora fin ]]-Tabla1[[#This Row],[Hora inicio]]</f>
        <v>8.680555555555558E-2</v>
      </c>
      <c r="H109" s="16">
        <f>WEEKNUM(Tabla1[[#This Row],[Día]])</f>
        <v>19</v>
      </c>
      <c r="J109" s="16">
        <f>IFERROR(((HOUR(Tabla1[[#This Row],[Tiempo producción]])*60+MINUTE(Tabla1[[#This Row],[Tiempo producción]]))/60)*$J$1,"")</f>
        <v>3750.0000000000005</v>
      </c>
      <c r="K109" s="21">
        <f>IFERROR(Tabla1[[#This Row],[Cantidad producida]]/Tabla1[[#This Row],[Cantidad teórica]],"")</f>
        <v>0</v>
      </c>
      <c r="L109" s="3"/>
      <c r="M109" s="23" t="str">
        <f>IF(Tabla1[[#This Row],[P/LC/CF/CL]]&lt;&gt;"P",Tabla1[[#This Row],[Hora fin ]]-Tabla1[[#This Row],[Hora inicio]],"")</f>
        <v/>
      </c>
      <c r="N109" t="str">
        <f>IF(Tabla1[[#This Row],[Cantidad producida]]&gt;Tabla1[[#This Row],[Cantidad teórica]],"SI","")</f>
        <v/>
      </c>
    </row>
    <row r="110" spans="1:14" x14ac:dyDescent="0.25">
      <c r="A110" s="2">
        <v>45782</v>
      </c>
      <c r="B110" s="3">
        <v>0.69097222222222221</v>
      </c>
      <c r="C110" s="3">
        <v>0.69791666666666663</v>
      </c>
      <c r="D110" s="19" t="str">
        <f>+IF(Tabla1[[#This Row],[Hora inicio]]&lt;$B$1,"Mañana","Tarde")</f>
        <v>Tarde</v>
      </c>
      <c r="E110" t="s">
        <v>124</v>
      </c>
      <c r="F110" s="19" t="str">
        <f>IF(Tabla1[[#This Row],[P/LC/CF/CL]]="P",Tabla1[[#This Row],[Hora fin ]]-Tabla1[[#This Row],[Hora inicio]],"")</f>
        <v/>
      </c>
      <c r="G110" s="19">
        <f>Tabla1[[#This Row],[Hora fin ]]-Tabla1[[#This Row],[Hora inicio]]</f>
        <v>6.9444444444444198E-3</v>
      </c>
      <c r="H110" s="16">
        <f>WEEKNUM(Tabla1[[#This Row],[Día]])</f>
        <v>19</v>
      </c>
      <c r="J110" s="16" t="str">
        <f>IFERROR(((HOUR(Tabla1[[#This Row],[Tiempo producción]])*60+MINUTE(Tabla1[[#This Row],[Tiempo producción]]))/60)*$J$1,"")</f>
        <v/>
      </c>
      <c r="K110" s="21" t="str">
        <f>IFERROR(Tabla1[[#This Row],[Cantidad producida]]/Tabla1[[#This Row],[Cantidad teórica]],"")</f>
        <v/>
      </c>
      <c r="L110" s="3"/>
      <c r="M110" s="23">
        <f>IF(Tabla1[[#This Row],[P/LC/CF/CL]]&lt;&gt;"P",Tabla1[[#This Row],[Hora fin ]]-Tabla1[[#This Row],[Hora inicio]],"")</f>
        <v>6.9444444444444198E-3</v>
      </c>
      <c r="N110" t="str">
        <f>IF(Tabla1[[#This Row],[Cantidad producida]]&gt;Tabla1[[#This Row],[Cantidad teórica]],"SI","")</f>
        <v/>
      </c>
    </row>
    <row r="111" spans="1:14" x14ac:dyDescent="0.25">
      <c r="A111" s="2">
        <v>45782</v>
      </c>
      <c r="B111" s="3">
        <v>0.70833333333333337</v>
      </c>
      <c r="C111" s="3">
        <v>0.89583333333333337</v>
      </c>
      <c r="D111" s="19" t="str">
        <f>+IF(Tabla1[[#This Row],[Hora inicio]]&lt;$B$1,"Mañana","Tarde")</f>
        <v>Tarde</v>
      </c>
      <c r="E111" t="s">
        <v>134</v>
      </c>
      <c r="F111" s="19">
        <f>IF(Tabla1[[#This Row],[P/LC/CF/CL]]="P",Tabla1[[#This Row],[Hora fin ]]-Tabla1[[#This Row],[Hora inicio]],"")</f>
        <v>0.1875</v>
      </c>
      <c r="G111" s="19">
        <f>Tabla1[[#This Row],[Hora fin ]]-Tabla1[[#This Row],[Hora inicio]]</f>
        <v>0.1875</v>
      </c>
      <c r="H111" s="16">
        <f>WEEKNUM(Tabla1[[#This Row],[Día]])</f>
        <v>19</v>
      </c>
      <c r="J111" s="16">
        <f>IFERROR(((HOUR(Tabla1[[#This Row],[Tiempo producción]])*60+MINUTE(Tabla1[[#This Row],[Tiempo producción]]))/60)*$J$1,"")</f>
        <v>8100</v>
      </c>
      <c r="K111" s="21">
        <f>IFERROR(Tabla1[[#This Row],[Cantidad producida]]/Tabla1[[#This Row],[Cantidad teórica]],"")</f>
        <v>0</v>
      </c>
      <c r="L111" s="3"/>
      <c r="M111" s="23" t="str">
        <f>IF(Tabla1[[#This Row],[P/LC/CF/CL]]&lt;&gt;"P",Tabla1[[#This Row],[Hora fin ]]-Tabla1[[#This Row],[Hora inicio]],"")</f>
        <v/>
      </c>
      <c r="N111" t="str">
        <f>IF(Tabla1[[#This Row],[Cantidad producida]]&gt;Tabla1[[#This Row],[Cantidad teórica]],"SI","")</f>
        <v/>
      </c>
    </row>
    <row r="112" spans="1:14" x14ac:dyDescent="0.25">
      <c r="A112" s="2">
        <v>45783</v>
      </c>
      <c r="B112" s="3">
        <v>0.26041666666666669</v>
      </c>
      <c r="C112" s="3">
        <v>0.55555555555555558</v>
      </c>
      <c r="D112" s="19" t="str">
        <f>+IF(Tabla1[[#This Row],[Hora inicio]]&lt;$B$1,"Mañana","Tarde")</f>
        <v>Mañana</v>
      </c>
      <c r="E112" t="s">
        <v>134</v>
      </c>
      <c r="F112" s="19">
        <f>IF(Tabla1[[#This Row],[P/LC/CF/CL]]="P",Tabla1[[#This Row],[Hora fin ]]-Tabla1[[#This Row],[Hora inicio]],"")</f>
        <v>0.2951388888888889</v>
      </c>
      <c r="G112" s="19">
        <f>Tabla1[[#This Row],[Hora fin ]]-Tabla1[[#This Row],[Hora inicio]]</f>
        <v>0.2951388888888889</v>
      </c>
      <c r="H112" s="16">
        <f>WEEKNUM(Tabla1[[#This Row],[Día]])</f>
        <v>19</v>
      </c>
      <c r="J112" s="16">
        <f>IFERROR(((HOUR(Tabla1[[#This Row],[Tiempo producción]])*60+MINUTE(Tabla1[[#This Row],[Tiempo producción]]))/60)*$J$1,"")</f>
        <v>12750</v>
      </c>
      <c r="K112" s="21">
        <f>IFERROR(Tabla1[[#This Row],[Cantidad producida]]/Tabla1[[#This Row],[Cantidad teórica]],"")</f>
        <v>0</v>
      </c>
      <c r="L112" s="3"/>
      <c r="M112" s="23" t="str">
        <f>IF(Tabla1[[#This Row],[P/LC/CF/CL]]&lt;&gt;"P",Tabla1[[#This Row],[Hora fin ]]-Tabla1[[#This Row],[Hora inicio]],"")</f>
        <v/>
      </c>
      <c r="N112" t="str">
        <f>IF(Tabla1[[#This Row],[Cantidad producida]]&gt;Tabla1[[#This Row],[Cantidad teórica]],"SI","")</f>
        <v/>
      </c>
    </row>
    <row r="113" spans="1:14" x14ac:dyDescent="0.25">
      <c r="A113" s="2">
        <v>45783</v>
      </c>
      <c r="B113" s="3">
        <v>0.60763888888888884</v>
      </c>
      <c r="C113" s="3">
        <v>0.625</v>
      </c>
      <c r="D113" s="19" t="str">
        <f>+IF(Tabla1[[#This Row],[Hora inicio]]&lt;$B$1,"Mañana","Tarde")</f>
        <v>Tarde</v>
      </c>
      <c r="E113" t="s">
        <v>134</v>
      </c>
      <c r="F113" s="19">
        <f>IF(Tabla1[[#This Row],[P/LC/CF/CL]]="P",Tabla1[[#This Row],[Hora fin ]]-Tabla1[[#This Row],[Hora inicio]],"")</f>
        <v>1.736111111111116E-2</v>
      </c>
      <c r="G113" s="19">
        <f>Tabla1[[#This Row],[Hora fin ]]-Tabla1[[#This Row],[Hora inicio]]</f>
        <v>1.736111111111116E-2</v>
      </c>
      <c r="H113" s="16">
        <f>WEEKNUM(Tabla1[[#This Row],[Día]])</f>
        <v>19</v>
      </c>
      <c r="J113" s="16">
        <f>IFERROR(((HOUR(Tabla1[[#This Row],[Tiempo producción]])*60+MINUTE(Tabla1[[#This Row],[Tiempo producción]]))/60)*$J$1,"")</f>
        <v>750</v>
      </c>
      <c r="K113" s="21">
        <f>IFERROR(Tabla1[[#This Row],[Cantidad producida]]/Tabla1[[#This Row],[Cantidad teórica]],"")</f>
        <v>0</v>
      </c>
      <c r="L113" s="3"/>
      <c r="M113" s="23" t="str">
        <f>IF(Tabla1[[#This Row],[P/LC/CF/CL]]&lt;&gt;"P",Tabla1[[#This Row],[Hora fin ]]-Tabla1[[#This Row],[Hora inicio]],"")</f>
        <v/>
      </c>
      <c r="N113" t="str">
        <f>IF(Tabla1[[#This Row],[Cantidad producida]]&gt;Tabla1[[#This Row],[Cantidad teórica]],"SI","")</f>
        <v/>
      </c>
    </row>
    <row r="114" spans="1:14" x14ac:dyDescent="0.25">
      <c r="A114" s="2">
        <v>45783</v>
      </c>
      <c r="B114" s="3">
        <v>0.63541666666666663</v>
      </c>
      <c r="C114" s="3">
        <v>0.64930555555555558</v>
      </c>
      <c r="D114" s="19" t="str">
        <f>+IF(Tabla1[[#This Row],[Hora inicio]]&lt;$B$1,"Mañana","Tarde")</f>
        <v>Tarde</v>
      </c>
      <c r="E114" t="s">
        <v>124</v>
      </c>
      <c r="F114" s="19" t="str">
        <f>IF(Tabla1[[#This Row],[P/LC/CF/CL]]="P",Tabla1[[#This Row],[Hora fin ]]-Tabla1[[#This Row],[Hora inicio]],"")</f>
        <v/>
      </c>
      <c r="G114" s="19">
        <f>Tabla1[[#This Row],[Hora fin ]]-Tabla1[[#This Row],[Hora inicio]]</f>
        <v>1.3888888888888951E-2</v>
      </c>
      <c r="H114" s="16">
        <f>WEEKNUM(Tabla1[[#This Row],[Día]])</f>
        <v>19</v>
      </c>
      <c r="J114" s="16" t="str">
        <f>IFERROR(((HOUR(Tabla1[[#This Row],[Tiempo producción]])*60+MINUTE(Tabla1[[#This Row],[Tiempo producción]]))/60)*$J$1,"")</f>
        <v/>
      </c>
      <c r="K114" s="21" t="str">
        <f>IFERROR(Tabla1[[#This Row],[Cantidad producida]]/Tabla1[[#This Row],[Cantidad teórica]],"")</f>
        <v/>
      </c>
      <c r="L114" s="3"/>
      <c r="M114" s="23">
        <f>IF(Tabla1[[#This Row],[P/LC/CF/CL]]&lt;&gt;"P",Tabla1[[#This Row],[Hora fin ]]-Tabla1[[#This Row],[Hora inicio]],"")</f>
        <v>1.3888888888888951E-2</v>
      </c>
      <c r="N114" t="str">
        <f>IF(Tabla1[[#This Row],[Cantidad producida]]&gt;Tabla1[[#This Row],[Cantidad teórica]],"SI","")</f>
        <v/>
      </c>
    </row>
    <row r="115" spans="1:14" x14ac:dyDescent="0.25">
      <c r="A115" s="2">
        <v>45784</v>
      </c>
      <c r="B115" s="3">
        <v>0.27083333333333331</v>
      </c>
      <c r="C115" s="3">
        <v>0.47916666666666669</v>
      </c>
      <c r="D115" s="19" t="str">
        <f>+IF(Tabla1[[#This Row],[Hora inicio]]&lt;$B$1,"Mañana","Tarde")</f>
        <v>Mañana</v>
      </c>
      <c r="E115" t="s">
        <v>134</v>
      </c>
      <c r="F115" s="19">
        <f>IF(Tabla1[[#This Row],[P/LC/CF/CL]]="P",Tabla1[[#This Row],[Hora fin ]]-Tabla1[[#This Row],[Hora inicio]],"")</f>
        <v>0.20833333333333337</v>
      </c>
      <c r="G115" s="19">
        <f>Tabla1[[#This Row],[Hora fin ]]-Tabla1[[#This Row],[Hora inicio]]</f>
        <v>0.20833333333333337</v>
      </c>
      <c r="H115" s="16">
        <f>WEEKNUM(Tabla1[[#This Row],[Día]])</f>
        <v>19</v>
      </c>
      <c r="J115" s="16">
        <f>IFERROR(((HOUR(Tabla1[[#This Row],[Tiempo producción]])*60+MINUTE(Tabla1[[#This Row],[Tiempo producción]]))/60)*$J$1,"")</f>
        <v>9000</v>
      </c>
      <c r="K115" s="21">
        <f>IFERROR(Tabla1[[#This Row],[Cantidad producida]]/Tabla1[[#This Row],[Cantidad teórica]],"")</f>
        <v>0</v>
      </c>
      <c r="L115" s="3"/>
      <c r="M115" s="23" t="str">
        <f>IF(Tabla1[[#This Row],[P/LC/CF/CL]]&lt;&gt;"P",Tabla1[[#This Row],[Hora fin ]]-Tabla1[[#This Row],[Hora inicio]],"")</f>
        <v/>
      </c>
      <c r="N115" t="str">
        <f>IF(Tabla1[[#This Row],[Cantidad producida]]&gt;Tabla1[[#This Row],[Cantidad teórica]],"SI","")</f>
        <v/>
      </c>
    </row>
    <row r="116" spans="1:14" x14ac:dyDescent="0.25">
      <c r="A116" s="2">
        <v>45784</v>
      </c>
      <c r="B116" s="3">
        <v>0.47916666666666669</v>
      </c>
      <c r="C116" s="3">
        <v>0.51041666666666663</v>
      </c>
      <c r="D116" s="19" t="str">
        <f>+IF(Tabla1[[#This Row],[Hora inicio]]&lt;$B$1,"Mañana","Tarde")</f>
        <v>Mañana</v>
      </c>
      <c r="E116" t="s">
        <v>124</v>
      </c>
      <c r="F116" s="19" t="str">
        <f>IF(Tabla1[[#This Row],[P/LC/CF/CL]]="P",Tabla1[[#This Row],[Hora fin ]]-Tabla1[[#This Row],[Hora inicio]],"")</f>
        <v/>
      </c>
      <c r="G116" s="19">
        <f>Tabla1[[#This Row],[Hora fin ]]-Tabla1[[#This Row],[Hora inicio]]</f>
        <v>3.1249999999999944E-2</v>
      </c>
      <c r="H116" s="16">
        <f>WEEKNUM(Tabla1[[#This Row],[Día]])</f>
        <v>19</v>
      </c>
      <c r="J116" s="16" t="str">
        <f>IFERROR(((HOUR(Tabla1[[#This Row],[Tiempo producción]])*60+MINUTE(Tabla1[[#This Row],[Tiempo producción]]))/60)*$J$1,"")</f>
        <v/>
      </c>
      <c r="K116" s="21" t="str">
        <f>IFERROR(Tabla1[[#This Row],[Cantidad producida]]/Tabla1[[#This Row],[Cantidad teórica]],"")</f>
        <v/>
      </c>
      <c r="L116" s="3"/>
      <c r="M116" s="23">
        <f>IF(Tabla1[[#This Row],[P/LC/CF/CL]]&lt;&gt;"P",Tabla1[[#This Row],[Hora fin ]]-Tabla1[[#This Row],[Hora inicio]],"")</f>
        <v>3.1249999999999944E-2</v>
      </c>
      <c r="N116" t="str">
        <f>IF(Tabla1[[#This Row],[Cantidad producida]]&gt;Tabla1[[#This Row],[Cantidad teórica]],"SI","")</f>
        <v/>
      </c>
    </row>
    <row r="117" spans="1:14" x14ac:dyDescent="0.25">
      <c r="A117" s="2">
        <v>45784</v>
      </c>
      <c r="B117" s="3">
        <v>0.51041666666666663</v>
      </c>
      <c r="C117" s="3">
        <v>0.5625</v>
      </c>
      <c r="D117" s="19" t="str">
        <f>+IF(Tabla1[[#This Row],[Hora inicio]]&lt;$B$1,"Mañana","Tarde")</f>
        <v>Mañana</v>
      </c>
      <c r="E117" t="s">
        <v>134</v>
      </c>
      <c r="F117" s="19">
        <f>IF(Tabla1[[#This Row],[P/LC/CF/CL]]="P",Tabla1[[#This Row],[Hora fin ]]-Tabla1[[#This Row],[Hora inicio]],"")</f>
        <v>5.208333333333337E-2</v>
      </c>
      <c r="G117" s="19">
        <f>Tabla1[[#This Row],[Hora fin ]]-Tabla1[[#This Row],[Hora inicio]]</f>
        <v>5.208333333333337E-2</v>
      </c>
      <c r="H117" s="16">
        <f>WEEKNUM(Tabla1[[#This Row],[Día]])</f>
        <v>19</v>
      </c>
      <c r="J117" s="16">
        <f>IFERROR(((HOUR(Tabla1[[#This Row],[Tiempo producción]])*60+MINUTE(Tabla1[[#This Row],[Tiempo producción]]))/60)*$J$1,"")</f>
        <v>2250</v>
      </c>
      <c r="K117" s="21">
        <f>IFERROR(Tabla1[[#This Row],[Cantidad producida]]/Tabla1[[#This Row],[Cantidad teórica]],"")</f>
        <v>0</v>
      </c>
      <c r="L117" s="3"/>
      <c r="M117" s="23" t="str">
        <f>IF(Tabla1[[#This Row],[P/LC/CF/CL]]&lt;&gt;"P",Tabla1[[#This Row],[Hora fin ]]-Tabla1[[#This Row],[Hora inicio]],"")</f>
        <v/>
      </c>
      <c r="N117" t="str">
        <f>IF(Tabla1[[#This Row],[Cantidad producida]]&gt;Tabla1[[#This Row],[Cantidad teórica]],"SI","")</f>
        <v/>
      </c>
    </row>
    <row r="118" spans="1:14" x14ac:dyDescent="0.25">
      <c r="A118" s="2">
        <v>45784</v>
      </c>
      <c r="B118" s="3">
        <v>0.58680555555555558</v>
      </c>
      <c r="C118" s="3">
        <v>0.89583333333333337</v>
      </c>
      <c r="D118" s="19" t="str">
        <f>+IF(Tabla1[[#This Row],[Hora inicio]]&lt;$B$1,"Mañana","Tarde")</f>
        <v>Tarde</v>
      </c>
      <c r="E118" t="s">
        <v>134</v>
      </c>
      <c r="F118" s="19">
        <f>IF(Tabla1[[#This Row],[P/LC/CF/CL]]="P",Tabla1[[#This Row],[Hora fin ]]-Tabla1[[#This Row],[Hora inicio]],"")</f>
        <v>0.30902777777777779</v>
      </c>
      <c r="G118" s="19">
        <f>Tabla1[[#This Row],[Hora fin ]]-Tabla1[[#This Row],[Hora inicio]]</f>
        <v>0.30902777777777779</v>
      </c>
      <c r="H118" s="16">
        <f>WEEKNUM(Tabla1[[#This Row],[Día]])</f>
        <v>19</v>
      </c>
      <c r="J118" s="16">
        <f>IFERROR(((HOUR(Tabla1[[#This Row],[Tiempo producción]])*60+MINUTE(Tabla1[[#This Row],[Tiempo producción]]))/60)*$J$1,"")</f>
        <v>13350</v>
      </c>
      <c r="K118" s="21">
        <f>IFERROR(Tabla1[[#This Row],[Cantidad producida]]/Tabla1[[#This Row],[Cantidad teórica]],"")</f>
        <v>0</v>
      </c>
      <c r="L118" s="3"/>
      <c r="M118" s="23" t="str">
        <f>IF(Tabla1[[#This Row],[P/LC/CF/CL]]&lt;&gt;"P",Tabla1[[#This Row],[Hora fin ]]-Tabla1[[#This Row],[Hora inicio]],"")</f>
        <v/>
      </c>
      <c r="N118" t="str">
        <f>IF(Tabla1[[#This Row],[Cantidad producida]]&gt;Tabla1[[#This Row],[Cantidad teórica]],"SI","")</f>
        <v/>
      </c>
    </row>
    <row r="119" spans="1:14" x14ac:dyDescent="0.25">
      <c r="A119" s="2">
        <v>45785</v>
      </c>
      <c r="B119" s="3">
        <v>0.29166666666666669</v>
      </c>
      <c r="C119" s="3">
        <v>0.40972222222222221</v>
      </c>
      <c r="D119" s="19" t="str">
        <f>+IF(Tabla1[[#This Row],[Hora inicio]]&lt;$B$1,"Mañana","Tarde")</f>
        <v>Mañana</v>
      </c>
      <c r="E119" t="s">
        <v>134</v>
      </c>
      <c r="F119" s="19">
        <f>IF(Tabla1[[#This Row],[P/LC/CF/CL]]="P",Tabla1[[#This Row],[Hora fin ]]-Tabla1[[#This Row],[Hora inicio]],"")</f>
        <v>0.11805555555555552</v>
      </c>
      <c r="G119" s="19">
        <f>Tabla1[[#This Row],[Hora fin ]]-Tabla1[[#This Row],[Hora inicio]]</f>
        <v>0.11805555555555552</v>
      </c>
      <c r="H119" s="16">
        <f>WEEKNUM(Tabla1[[#This Row],[Día]])</f>
        <v>19</v>
      </c>
      <c r="J119" s="16">
        <f>IFERROR(((HOUR(Tabla1[[#This Row],[Tiempo producción]])*60+MINUTE(Tabla1[[#This Row],[Tiempo producción]]))/60)*$J$1,"")</f>
        <v>5100</v>
      </c>
      <c r="K119" s="21">
        <f>IFERROR(Tabla1[[#This Row],[Cantidad producida]]/Tabla1[[#This Row],[Cantidad teórica]],"")</f>
        <v>0</v>
      </c>
      <c r="L119" s="3"/>
      <c r="M119" s="23" t="str">
        <f>IF(Tabla1[[#This Row],[P/LC/CF/CL]]&lt;&gt;"P",Tabla1[[#This Row],[Hora fin ]]-Tabla1[[#This Row],[Hora inicio]],"")</f>
        <v/>
      </c>
      <c r="N119" t="str">
        <f>IF(Tabla1[[#This Row],[Cantidad producida]]&gt;Tabla1[[#This Row],[Cantidad teórica]],"SI","")</f>
        <v/>
      </c>
    </row>
    <row r="120" spans="1:14" x14ac:dyDescent="0.25">
      <c r="A120" s="2">
        <v>45785</v>
      </c>
      <c r="B120" s="3">
        <v>0.59375</v>
      </c>
      <c r="C120" s="3">
        <v>0.88541666666666663</v>
      </c>
      <c r="D120" s="19" t="str">
        <f>+IF(Tabla1[[#This Row],[Hora inicio]]&lt;$B$1,"Mañana","Tarde")</f>
        <v>Tarde</v>
      </c>
      <c r="E120" t="s">
        <v>134</v>
      </c>
      <c r="F120" s="19">
        <f>IF(Tabla1[[#This Row],[P/LC/CF/CL]]="P",Tabla1[[#This Row],[Hora fin ]]-Tabla1[[#This Row],[Hora inicio]],"")</f>
        <v>0.29166666666666663</v>
      </c>
      <c r="G120" s="19">
        <f>Tabla1[[#This Row],[Hora fin ]]-Tabla1[[#This Row],[Hora inicio]]</f>
        <v>0.29166666666666663</v>
      </c>
      <c r="H120" s="16">
        <f>WEEKNUM(Tabla1[[#This Row],[Día]])</f>
        <v>19</v>
      </c>
      <c r="J120" s="16">
        <f>IFERROR(((HOUR(Tabla1[[#This Row],[Tiempo producción]])*60+MINUTE(Tabla1[[#This Row],[Tiempo producción]]))/60)*$J$1,"")</f>
        <v>12600</v>
      </c>
      <c r="K120" s="21">
        <f>IFERROR(Tabla1[[#This Row],[Cantidad producida]]/Tabla1[[#This Row],[Cantidad teórica]],"")</f>
        <v>0</v>
      </c>
      <c r="L120" s="3"/>
      <c r="M120" s="23" t="str">
        <f>IF(Tabla1[[#This Row],[P/LC/CF/CL]]&lt;&gt;"P",Tabla1[[#This Row],[Hora fin ]]-Tabla1[[#This Row],[Hora inicio]],"")</f>
        <v/>
      </c>
      <c r="N120" t="str">
        <f>IF(Tabla1[[#This Row],[Cantidad producida]]&gt;Tabla1[[#This Row],[Cantidad teórica]],"SI","")</f>
        <v/>
      </c>
    </row>
    <row r="121" spans="1:14" x14ac:dyDescent="0.25">
      <c r="A121" s="2">
        <v>45786</v>
      </c>
      <c r="B121" s="3">
        <v>0.625</v>
      </c>
      <c r="C121" s="3">
        <v>0.89583333333333337</v>
      </c>
      <c r="D121" s="19" t="str">
        <f>+IF(Tabla1[[#This Row],[Hora inicio]]&lt;$B$1,"Mañana","Tarde")</f>
        <v>Tarde</v>
      </c>
      <c r="E121" t="s">
        <v>134</v>
      </c>
      <c r="F121" s="19">
        <f>IF(Tabla1[[#This Row],[P/LC/CF/CL]]="P",Tabla1[[#This Row],[Hora fin ]]-Tabla1[[#This Row],[Hora inicio]],"")</f>
        <v>0.27083333333333337</v>
      </c>
      <c r="G121" s="19">
        <f>Tabla1[[#This Row],[Hora fin ]]-Tabla1[[#This Row],[Hora inicio]]</f>
        <v>0.27083333333333337</v>
      </c>
      <c r="H121" s="16">
        <f>WEEKNUM(Tabla1[[#This Row],[Día]])</f>
        <v>19</v>
      </c>
      <c r="J121" s="16">
        <f>IFERROR(((HOUR(Tabla1[[#This Row],[Tiempo producción]])*60+MINUTE(Tabla1[[#This Row],[Tiempo producción]]))/60)*$J$1,"")</f>
        <v>11700</v>
      </c>
      <c r="K121" s="21">
        <f>IFERROR(Tabla1[[#This Row],[Cantidad producida]]/Tabla1[[#This Row],[Cantidad teórica]],"")</f>
        <v>0</v>
      </c>
      <c r="L121" s="3"/>
      <c r="M121" s="23" t="str">
        <f>IF(Tabla1[[#This Row],[P/LC/CF/CL]]&lt;&gt;"P",Tabla1[[#This Row],[Hora fin ]]-Tabla1[[#This Row],[Hora inicio]],"")</f>
        <v/>
      </c>
      <c r="N121" t="str">
        <f>IF(Tabla1[[#This Row],[Cantidad producida]]&gt;Tabla1[[#This Row],[Cantidad teórica]],"SI","")</f>
        <v/>
      </c>
    </row>
    <row r="122" spans="1:14" x14ac:dyDescent="0.25">
      <c r="A122" s="2">
        <v>45789</v>
      </c>
      <c r="B122" s="3">
        <v>0.27083333333333331</v>
      </c>
      <c r="C122" s="3">
        <v>0.41666666666666669</v>
      </c>
      <c r="D122" s="19" t="str">
        <f>+IF(Tabla1[[#This Row],[Hora inicio]]&lt;$B$1,"Mañana","Tarde")</f>
        <v>Mañana</v>
      </c>
      <c r="E122" t="s">
        <v>134</v>
      </c>
      <c r="F122" s="19">
        <f>IF(Tabla1[[#This Row],[P/LC/CF/CL]]="P",Tabla1[[#This Row],[Hora fin ]]-Tabla1[[#This Row],[Hora inicio]],"")</f>
        <v>0.14583333333333337</v>
      </c>
      <c r="G122" s="19">
        <f>Tabla1[[#This Row],[Hora fin ]]-Tabla1[[#This Row],[Hora inicio]]</f>
        <v>0.14583333333333337</v>
      </c>
      <c r="H122" s="16">
        <f>WEEKNUM(Tabla1[[#This Row],[Día]])</f>
        <v>20</v>
      </c>
      <c r="J122" s="16">
        <f>IFERROR(((HOUR(Tabla1[[#This Row],[Tiempo producción]])*60+MINUTE(Tabla1[[#This Row],[Tiempo producción]]))/60)*$J$1,"")</f>
        <v>6300</v>
      </c>
      <c r="K122" s="21">
        <f>IFERROR(Tabla1[[#This Row],[Cantidad producida]]/Tabla1[[#This Row],[Cantidad teórica]],"")</f>
        <v>0</v>
      </c>
      <c r="L122" s="3"/>
      <c r="M122" s="23" t="str">
        <f>IF(Tabla1[[#This Row],[P/LC/CF/CL]]&lt;&gt;"P",Tabla1[[#This Row],[Hora fin ]]-Tabla1[[#This Row],[Hora inicio]],"")</f>
        <v/>
      </c>
      <c r="N122" t="str">
        <f>IF(Tabla1[[#This Row],[Cantidad producida]]&gt;Tabla1[[#This Row],[Cantidad teórica]],"SI","")</f>
        <v/>
      </c>
    </row>
    <row r="123" spans="1:14" x14ac:dyDescent="0.25">
      <c r="A123" s="2">
        <v>45789</v>
      </c>
      <c r="B123" s="3">
        <v>0.69791666666666663</v>
      </c>
      <c r="C123" s="3">
        <v>0.89583333333333337</v>
      </c>
      <c r="D123" s="19" t="str">
        <f>+IF(Tabla1[[#This Row],[Hora inicio]]&lt;$B$1,"Mañana","Tarde")</f>
        <v>Tarde</v>
      </c>
      <c r="E123" t="s">
        <v>134</v>
      </c>
      <c r="F123" s="19">
        <f>IF(Tabla1[[#This Row],[P/LC/CF/CL]]="P",Tabla1[[#This Row],[Hora fin ]]-Tabla1[[#This Row],[Hora inicio]],"")</f>
        <v>0.19791666666666674</v>
      </c>
      <c r="G123" s="19">
        <f>Tabla1[[#This Row],[Hora fin ]]-Tabla1[[#This Row],[Hora inicio]]</f>
        <v>0.19791666666666674</v>
      </c>
      <c r="H123" s="16">
        <f>WEEKNUM(Tabla1[[#This Row],[Día]])</f>
        <v>20</v>
      </c>
      <c r="J123" s="16">
        <f>IFERROR(((HOUR(Tabla1[[#This Row],[Tiempo producción]])*60+MINUTE(Tabla1[[#This Row],[Tiempo producción]]))/60)*$J$1,"")</f>
        <v>8550</v>
      </c>
      <c r="K123" s="21">
        <f>IFERROR(Tabla1[[#This Row],[Cantidad producida]]/Tabla1[[#This Row],[Cantidad teórica]],"")</f>
        <v>0</v>
      </c>
      <c r="L123" s="3"/>
      <c r="M123" s="23" t="str">
        <f>IF(Tabla1[[#This Row],[P/LC/CF/CL]]&lt;&gt;"P",Tabla1[[#This Row],[Hora fin ]]-Tabla1[[#This Row],[Hora inicio]],"")</f>
        <v/>
      </c>
      <c r="N123" t="str">
        <f>IF(Tabla1[[#This Row],[Cantidad producida]]&gt;Tabla1[[#This Row],[Cantidad teórica]],"SI","")</f>
        <v/>
      </c>
    </row>
    <row r="124" spans="1:14" x14ac:dyDescent="0.25">
      <c r="A124" s="2">
        <v>45790</v>
      </c>
      <c r="B124" s="3">
        <v>0.27083333333333331</v>
      </c>
      <c r="C124" s="3">
        <v>0.5625</v>
      </c>
      <c r="D124" s="19" t="str">
        <f>+IF(Tabla1[[#This Row],[Hora inicio]]&lt;$B$1,"Mañana","Tarde")</f>
        <v>Mañana</v>
      </c>
      <c r="E124" t="s">
        <v>134</v>
      </c>
      <c r="F124" s="19">
        <f>IF(Tabla1[[#This Row],[P/LC/CF/CL]]="P",Tabla1[[#This Row],[Hora fin ]]-Tabla1[[#This Row],[Hora inicio]],"")</f>
        <v>0.29166666666666669</v>
      </c>
      <c r="G124" s="19">
        <f>Tabla1[[#This Row],[Hora fin ]]-Tabla1[[#This Row],[Hora inicio]]</f>
        <v>0.29166666666666669</v>
      </c>
      <c r="H124" s="16">
        <f>WEEKNUM(Tabla1[[#This Row],[Día]])</f>
        <v>20</v>
      </c>
      <c r="J124" s="16">
        <f>IFERROR(((HOUR(Tabla1[[#This Row],[Tiempo producción]])*60+MINUTE(Tabla1[[#This Row],[Tiempo producción]]))/60)*$J$1,"")</f>
        <v>12600</v>
      </c>
      <c r="K124" s="21">
        <f>IFERROR(Tabla1[[#This Row],[Cantidad producida]]/Tabla1[[#This Row],[Cantidad teórica]],"")</f>
        <v>0</v>
      </c>
      <c r="L124" s="3"/>
      <c r="M124" s="23" t="str">
        <f>IF(Tabla1[[#This Row],[P/LC/CF/CL]]&lt;&gt;"P",Tabla1[[#This Row],[Hora fin ]]-Tabla1[[#This Row],[Hora inicio]],"")</f>
        <v/>
      </c>
      <c r="N124" t="str">
        <f>IF(Tabla1[[#This Row],[Cantidad producida]]&gt;Tabla1[[#This Row],[Cantidad teórica]],"SI","")</f>
        <v/>
      </c>
    </row>
    <row r="125" spans="1:14" x14ac:dyDescent="0.25">
      <c r="A125" s="2">
        <v>45790</v>
      </c>
      <c r="B125" s="3">
        <v>0.59375</v>
      </c>
      <c r="C125" s="3">
        <v>0.61805555555555558</v>
      </c>
      <c r="D125" s="19" t="str">
        <f>+IF(Tabla1[[#This Row],[Hora inicio]]&lt;$B$1,"Mañana","Tarde")</f>
        <v>Tarde</v>
      </c>
      <c r="E125" t="s">
        <v>134</v>
      </c>
      <c r="F125" s="19">
        <f>IF(Tabla1[[#This Row],[P/LC/CF/CL]]="P",Tabla1[[#This Row],[Hora fin ]]-Tabla1[[#This Row],[Hora inicio]],"")</f>
        <v>2.430555555555558E-2</v>
      </c>
      <c r="G125" s="19">
        <f>Tabla1[[#This Row],[Hora fin ]]-Tabla1[[#This Row],[Hora inicio]]</f>
        <v>2.430555555555558E-2</v>
      </c>
      <c r="H125" s="16">
        <f>WEEKNUM(Tabla1[[#This Row],[Día]])</f>
        <v>20</v>
      </c>
      <c r="J125" s="16">
        <f>IFERROR(((HOUR(Tabla1[[#This Row],[Tiempo producción]])*60+MINUTE(Tabla1[[#This Row],[Tiempo producción]]))/60)*$J$1,"")</f>
        <v>1050</v>
      </c>
      <c r="K125" s="21">
        <f>IFERROR(Tabla1[[#This Row],[Cantidad producida]]/Tabla1[[#This Row],[Cantidad teórica]],"")</f>
        <v>0</v>
      </c>
      <c r="L125" s="3"/>
      <c r="M125" s="23" t="str">
        <f>IF(Tabla1[[#This Row],[P/LC/CF/CL]]&lt;&gt;"P",Tabla1[[#This Row],[Hora fin ]]-Tabla1[[#This Row],[Hora inicio]],"")</f>
        <v/>
      </c>
      <c r="N125" t="str">
        <f>IF(Tabla1[[#This Row],[Cantidad producida]]&gt;Tabla1[[#This Row],[Cantidad teórica]],"SI","")</f>
        <v/>
      </c>
    </row>
    <row r="126" spans="1:14" x14ac:dyDescent="0.25">
      <c r="A126" s="2">
        <v>45790</v>
      </c>
      <c r="B126" s="3">
        <v>0.625</v>
      </c>
      <c r="C126" s="3">
        <v>0.63194444444444442</v>
      </c>
      <c r="D126" s="19" t="str">
        <f>+IF(Tabla1[[#This Row],[Hora inicio]]&lt;$B$1,"Mañana","Tarde")</f>
        <v>Tarde</v>
      </c>
      <c r="E126" t="s">
        <v>124</v>
      </c>
      <c r="F126" s="19" t="str">
        <f>IF(Tabla1[[#This Row],[P/LC/CF/CL]]="P",Tabla1[[#This Row],[Hora fin ]]-Tabla1[[#This Row],[Hora inicio]],"")</f>
        <v/>
      </c>
      <c r="G126" s="19">
        <f>Tabla1[[#This Row],[Hora fin ]]-Tabla1[[#This Row],[Hora inicio]]</f>
        <v>6.9444444444444198E-3</v>
      </c>
      <c r="H126" s="16">
        <f>WEEKNUM(Tabla1[[#This Row],[Día]])</f>
        <v>20</v>
      </c>
      <c r="J126" s="16" t="str">
        <f>IFERROR(((HOUR(Tabla1[[#This Row],[Tiempo producción]])*60+MINUTE(Tabla1[[#This Row],[Tiempo producción]]))/60)*$J$1,"")</f>
        <v/>
      </c>
      <c r="K126" s="21" t="str">
        <f>IFERROR(Tabla1[[#This Row],[Cantidad producida]]/Tabla1[[#This Row],[Cantidad teórica]],"")</f>
        <v/>
      </c>
      <c r="L126" s="3"/>
      <c r="M126" s="23">
        <f>IF(Tabla1[[#This Row],[P/LC/CF/CL]]&lt;&gt;"P",Tabla1[[#This Row],[Hora fin ]]-Tabla1[[#This Row],[Hora inicio]],"")</f>
        <v>6.9444444444444198E-3</v>
      </c>
      <c r="N126" t="str">
        <f>IF(Tabla1[[#This Row],[Cantidad producida]]&gt;Tabla1[[#This Row],[Cantidad teórica]],"SI","")</f>
        <v/>
      </c>
    </row>
    <row r="127" spans="1:14" x14ac:dyDescent="0.25">
      <c r="A127" s="2">
        <v>45790</v>
      </c>
      <c r="B127" s="3">
        <v>0.63194444444444442</v>
      </c>
      <c r="C127" s="3">
        <v>0.89583333333333337</v>
      </c>
      <c r="D127" s="19" t="str">
        <f>+IF(Tabla1[[#This Row],[Hora inicio]]&lt;$B$1,"Mañana","Tarde")</f>
        <v>Tarde</v>
      </c>
      <c r="E127" t="s">
        <v>134</v>
      </c>
      <c r="F127" s="19">
        <f>IF(Tabla1[[#This Row],[P/LC/CF/CL]]="P",Tabla1[[#This Row],[Hora fin ]]-Tabla1[[#This Row],[Hora inicio]],"")</f>
        <v>0.26388888888888895</v>
      </c>
      <c r="G127" s="19">
        <f>Tabla1[[#This Row],[Hora fin ]]-Tabla1[[#This Row],[Hora inicio]]</f>
        <v>0.26388888888888895</v>
      </c>
      <c r="H127" s="16">
        <f>WEEKNUM(Tabla1[[#This Row],[Día]])</f>
        <v>20</v>
      </c>
      <c r="J127" s="16">
        <f>IFERROR(((HOUR(Tabla1[[#This Row],[Tiempo producción]])*60+MINUTE(Tabla1[[#This Row],[Tiempo producción]]))/60)*$J$1,"")</f>
        <v>11400</v>
      </c>
      <c r="K127" s="21">
        <f>IFERROR(Tabla1[[#This Row],[Cantidad producida]]/Tabla1[[#This Row],[Cantidad teórica]],"")</f>
        <v>0</v>
      </c>
      <c r="L127" s="3"/>
      <c r="M127" s="23" t="str">
        <f>IF(Tabla1[[#This Row],[P/LC/CF/CL]]&lt;&gt;"P",Tabla1[[#This Row],[Hora fin ]]-Tabla1[[#This Row],[Hora inicio]],"")</f>
        <v/>
      </c>
      <c r="N127" t="str">
        <f>IF(Tabla1[[#This Row],[Cantidad producida]]&gt;Tabla1[[#This Row],[Cantidad teórica]],"SI","")</f>
        <v/>
      </c>
    </row>
    <row r="128" spans="1:14" x14ac:dyDescent="0.25">
      <c r="A128" s="2">
        <v>45791</v>
      </c>
      <c r="B128" s="3">
        <v>0.2638888888888889</v>
      </c>
      <c r="C128" s="3">
        <v>0.45833333333333331</v>
      </c>
      <c r="D128" s="19" t="str">
        <f>+IF(Tabla1[[#This Row],[Hora inicio]]&lt;$B$1,"Mañana","Tarde")</f>
        <v>Mañana</v>
      </c>
      <c r="E128" t="s">
        <v>134</v>
      </c>
      <c r="F128" s="19">
        <f>IF(Tabla1[[#This Row],[P/LC/CF/CL]]="P",Tabla1[[#This Row],[Hora fin ]]-Tabla1[[#This Row],[Hora inicio]],"")</f>
        <v>0.19444444444444442</v>
      </c>
      <c r="G128" s="19">
        <f>Tabla1[[#This Row],[Hora fin ]]-Tabla1[[#This Row],[Hora inicio]]</f>
        <v>0.19444444444444442</v>
      </c>
      <c r="H128" s="16">
        <f>WEEKNUM(Tabla1[[#This Row],[Día]])</f>
        <v>20</v>
      </c>
      <c r="J128" s="16">
        <f>IFERROR(((HOUR(Tabla1[[#This Row],[Tiempo producción]])*60+MINUTE(Tabla1[[#This Row],[Tiempo producción]]))/60)*$J$1,"")</f>
        <v>8400</v>
      </c>
      <c r="K128" s="21">
        <f>IFERROR(Tabla1[[#This Row],[Cantidad producida]]/Tabla1[[#This Row],[Cantidad teórica]],"")</f>
        <v>0</v>
      </c>
      <c r="L128" s="3"/>
      <c r="M128" s="23" t="str">
        <f>IF(Tabla1[[#This Row],[P/LC/CF/CL]]&lt;&gt;"P",Tabla1[[#This Row],[Hora fin ]]-Tabla1[[#This Row],[Hora inicio]],"")</f>
        <v/>
      </c>
      <c r="N128" t="str">
        <f>IF(Tabla1[[#This Row],[Cantidad producida]]&gt;Tabla1[[#This Row],[Cantidad teórica]],"SI","")</f>
        <v/>
      </c>
    </row>
    <row r="129" spans="1:14" x14ac:dyDescent="0.25">
      <c r="A129" s="2">
        <v>45791</v>
      </c>
      <c r="B129" s="3">
        <v>0.4826388888888889</v>
      </c>
      <c r="C129" s="3">
        <v>0.52083333333333337</v>
      </c>
      <c r="D129" s="19" t="str">
        <f>+IF(Tabla1[[#This Row],[Hora inicio]]&lt;$B$1,"Mañana","Tarde")</f>
        <v>Mañana</v>
      </c>
      <c r="E129" t="s">
        <v>124</v>
      </c>
      <c r="F129" s="19" t="str">
        <f>IF(Tabla1[[#This Row],[P/LC/CF/CL]]="P",Tabla1[[#This Row],[Hora fin ]]-Tabla1[[#This Row],[Hora inicio]],"")</f>
        <v/>
      </c>
      <c r="G129" s="19">
        <f>Tabla1[[#This Row],[Hora fin ]]-Tabla1[[#This Row],[Hora inicio]]</f>
        <v>3.8194444444444475E-2</v>
      </c>
      <c r="H129" s="16">
        <f>WEEKNUM(Tabla1[[#This Row],[Día]])</f>
        <v>20</v>
      </c>
      <c r="J129" s="16" t="str">
        <f>IFERROR(((HOUR(Tabla1[[#This Row],[Tiempo producción]])*60+MINUTE(Tabla1[[#This Row],[Tiempo producción]]))/60)*$J$1,"")</f>
        <v/>
      </c>
      <c r="K129" s="21" t="str">
        <f>IFERROR(Tabla1[[#This Row],[Cantidad producida]]/Tabla1[[#This Row],[Cantidad teórica]],"")</f>
        <v/>
      </c>
      <c r="L129" s="3"/>
      <c r="M129" s="23">
        <f>IF(Tabla1[[#This Row],[P/LC/CF/CL]]&lt;&gt;"P",Tabla1[[#This Row],[Hora fin ]]-Tabla1[[#This Row],[Hora inicio]],"")</f>
        <v>3.8194444444444475E-2</v>
      </c>
      <c r="N129" t="str">
        <f>IF(Tabla1[[#This Row],[Cantidad producida]]&gt;Tabla1[[#This Row],[Cantidad teórica]],"SI","")</f>
        <v/>
      </c>
    </row>
    <row r="130" spans="1:14" x14ac:dyDescent="0.25">
      <c r="A130" s="2">
        <v>45791</v>
      </c>
      <c r="B130" s="3">
        <v>0.52083333333333337</v>
      </c>
      <c r="C130" s="3">
        <v>0.56944444444444442</v>
      </c>
      <c r="D130" s="19" t="str">
        <f>+IF(Tabla1[[#This Row],[Hora inicio]]&lt;$B$1,"Mañana","Tarde")</f>
        <v>Mañana</v>
      </c>
      <c r="E130" t="s">
        <v>134</v>
      </c>
      <c r="F130" s="19">
        <f>IF(Tabla1[[#This Row],[P/LC/CF/CL]]="P",Tabla1[[#This Row],[Hora fin ]]-Tabla1[[#This Row],[Hora inicio]],"")</f>
        <v>4.8611111111111049E-2</v>
      </c>
      <c r="G130" s="19">
        <f>Tabla1[[#This Row],[Hora fin ]]-Tabla1[[#This Row],[Hora inicio]]</f>
        <v>4.8611111111111049E-2</v>
      </c>
      <c r="H130" s="16">
        <f>WEEKNUM(Tabla1[[#This Row],[Día]])</f>
        <v>20</v>
      </c>
      <c r="J130" s="16">
        <f>IFERROR(((HOUR(Tabla1[[#This Row],[Tiempo producción]])*60+MINUTE(Tabla1[[#This Row],[Tiempo producción]]))/60)*$J$1,"")</f>
        <v>2100</v>
      </c>
      <c r="K130" s="21">
        <f>IFERROR(Tabla1[[#This Row],[Cantidad producida]]/Tabla1[[#This Row],[Cantidad teórica]],"")</f>
        <v>0</v>
      </c>
      <c r="L130" s="3"/>
      <c r="M130" s="23" t="str">
        <f>IF(Tabla1[[#This Row],[P/LC/CF/CL]]&lt;&gt;"P",Tabla1[[#This Row],[Hora fin ]]-Tabla1[[#This Row],[Hora inicio]],"")</f>
        <v/>
      </c>
      <c r="N130" t="str">
        <f>IF(Tabla1[[#This Row],[Cantidad producida]]&gt;Tabla1[[#This Row],[Cantidad teórica]],"SI","")</f>
        <v/>
      </c>
    </row>
    <row r="131" spans="1:14" x14ac:dyDescent="0.25">
      <c r="A131" s="2">
        <v>45791</v>
      </c>
      <c r="B131" s="3">
        <v>0.59375</v>
      </c>
      <c r="C131" s="3">
        <v>0.88541666666666663</v>
      </c>
      <c r="D131" s="19" t="str">
        <f>+IF(Tabla1[[#This Row],[Hora inicio]]&lt;$B$1,"Mañana","Tarde")</f>
        <v>Tarde</v>
      </c>
      <c r="E131" t="s">
        <v>134</v>
      </c>
      <c r="F131" s="19">
        <f>IF(Tabla1[[#This Row],[P/LC/CF/CL]]="P",Tabla1[[#This Row],[Hora fin ]]-Tabla1[[#This Row],[Hora inicio]],"")</f>
        <v>0.29166666666666663</v>
      </c>
      <c r="G131" s="19">
        <f>Tabla1[[#This Row],[Hora fin ]]-Tabla1[[#This Row],[Hora inicio]]</f>
        <v>0.29166666666666663</v>
      </c>
      <c r="H131" s="16">
        <f>WEEKNUM(Tabla1[[#This Row],[Día]])</f>
        <v>20</v>
      </c>
      <c r="J131" s="16">
        <f>IFERROR(((HOUR(Tabla1[[#This Row],[Tiempo producción]])*60+MINUTE(Tabla1[[#This Row],[Tiempo producción]]))/60)*$J$1,"")</f>
        <v>12600</v>
      </c>
      <c r="K131" s="21">
        <f>IFERROR(Tabla1[[#This Row],[Cantidad producida]]/Tabla1[[#This Row],[Cantidad teórica]],"")</f>
        <v>0</v>
      </c>
      <c r="L131" s="3"/>
      <c r="M131" s="23" t="str">
        <f>IF(Tabla1[[#This Row],[P/LC/CF/CL]]&lt;&gt;"P",Tabla1[[#This Row],[Hora fin ]]-Tabla1[[#This Row],[Hora inicio]],"")</f>
        <v/>
      </c>
      <c r="N131" t="str">
        <f>IF(Tabla1[[#This Row],[Cantidad producida]]&gt;Tabla1[[#This Row],[Cantidad teórica]],"SI","")</f>
        <v/>
      </c>
    </row>
    <row r="132" spans="1:14" x14ac:dyDescent="0.25">
      <c r="A132" s="2">
        <v>45792</v>
      </c>
      <c r="B132" s="3">
        <v>0.2638888888888889</v>
      </c>
      <c r="C132" s="3">
        <v>0.4236111111111111</v>
      </c>
      <c r="D132" s="19" t="str">
        <f>+IF(Tabla1[[#This Row],[Hora inicio]]&lt;$B$1,"Mañana","Tarde")</f>
        <v>Mañana</v>
      </c>
      <c r="E132" t="s">
        <v>134</v>
      </c>
      <c r="F132" s="19">
        <f>IF(Tabla1[[#This Row],[P/LC/CF/CL]]="P",Tabla1[[#This Row],[Hora fin ]]-Tabla1[[#This Row],[Hora inicio]],"")</f>
        <v>0.15972222222222221</v>
      </c>
      <c r="G132" s="19">
        <f>Tabla1[[#This Row],[Hora fin ]]-Tabla1[[#This Row],[Hora inicio]]</f>
        <v>0.15972222222222221</v>
      </c>
      <c r="H132" s="16">
        <f>WEEKNUM(Tabla1[[#This Row],[Día]])</f>
        <v>20</v>
      </c>
      <c r="J132" s="16">
        <f>IFERROR(((HOUR(Tabla1[[#This Row],[Tiempo producción]])*60+MINUTE(Tabla1[[#This Row],[Tiempo producción]]))/60)*$J$1,"")</f>
        <v>6900</v>
      </c>
      <c r="K132" s="21">
        <f>IFERROR(Tabla1[[#This Row],[Cantidad producida]]/Tabla1[[#This Row],[Cantidad teórica]],"")</f>
        <v>0</v>
      </c>
      <c r="L132" s="3"/>
      <c r="M132" s="23" t="str">
        <f>IF(Tabla1[[#This Row],[P/LC/CF/CL]]&lt;&gt;"P",Tabla1[[#This Row],[Hora fin ]]-Tabla1[[#This Row],[Hora inicio]],"")</f>
        <v/>
      </c>
      <c r="N132" t="str">
        <f>IF(Tabla1[[#This Row],[Cantidad producida]]&gt;Tabla1[[#This Row],[Cantidad teórica]],"SI","")</f>
        <v/>
      </c>
    </row>
    <row r="133" spans="1:14" x14ac:dyDescent="0.25">
      <c r="A133" s="2">
        <v>45792</v>
      </c>
      <c r="B133" s="3">
        <v>0.4236111111111111</v>
      </c>
      <c r="C133" s="3">
        <v>0.58333333333333337</v>
      </c>
      <c r="D133" s="19" t="str">
        <f>+IF(Tabla1[[#This Row],[Hora inicio]]&lt;$B$1,"Mañana","Tarde")</f>
        <v>Mañana</v>
      </c>
      <c r="E133" t="s">
        <v>122</v>
      </c>
      <c r="F133" s="19" t="str">
        <f>IF(Tabla1[[#This Row],[P/LC/CF/CL]]="P",Tabla1[[#This Row],[Hora fin ]]-Tabla1[[#This Row],[Hora inicio]],"")</f>
        <v/>
      </c>
      <c r="G133" s="19">
        <f>Tabla1[[#This Row],[Hora fin ]]-Tabla1[[#This Row],[Hora inicio]]</f>
        <v>0.15972222222222227</v>
      </c>
      <c r="H133" s="16">
        <f>WEEKNUM(Tabla1[[#This Row],[Día]])</f>
        <v>20</v>
      </c>
      <c r="J133" s="16" t="str">
        <f>IFERROR(((HOUR(Tabla1[[#This Row],[Tiempo producción]])*60+MINUTE(Tabla1[[#This Row],[Tiempo producción]]))/60)*$J$1,"")</f>
        <v/>
      </c>
      <c r="K133" s="21" t="str">
        <f>IFERROR(Tabla1[[#This Row],[Cantidad producida]]/Tabla1[[#This Row],[Cantidad teórica]],"")</f>
        <v/>
      </c>
      <c r="L133" s="3"/>
      <c r="M133" s="23">
        <f>IF(Tabla1[[#This Row],[P/LC/CF/CL]]&lt;&gt;"P",Tabla1[[#This Row],[Hora fin ]]-Tabla1[[#This Row],[Hora inicio]],"")</f>
        <v>0.15972222222222227</v>
      </c>
      <c r="N133" t="str">
        <f>IF(Tabla1[[#This Row],[Cantidad producida]]&gt;Tabla1[[#This Row],[Cantidad teórica]],"SI","")</f>
        <v/>
      </c>
    </row>
    <row r="134" spans="1:14" x14ac:dyDescent="0.25">
      <c r="A134" s="2">
        <v>45792</v>
      </c>
      <c r="B134" s="3">
        <v>0.58333333333333337</v>
      </c>
      <c r="C134" s="3">
        <v>0.91666666666666663</v>
      </c>
      <c r="D134" s="19" t="str">
        <f>+IF(Tabla1[[#This Row],[Hora inicio]]&lt;$B$1,"Mañana","Tarde")</f>
        <v>Tarde</v>
      </c>
      <c r="E134" t="s">
        <v>122</v>
      </c>
      <c r="F134" s="19" t="str">
        <f>IF(Tabla1[[#This Row],[P/LC/CF/CL]]="P",Tabla1[[#This Row],[Hora fin ]]-Tabla1[[#This Row],[Hora inicio]],"")</f>
        <v/>
      </c>
      <c r="G134" s="19">
        <f>Tabla1[[#This Row],[Hora fin ]]-Tabla1[[#This Row],[Hora inicio]]</f>
        <v>0.33333333333333326</v>
      </c>
      <c r="H134" s="16">
        <f>WEEKNUM(Tabla1[[#This Row],[Día]])</f>
        <v>20</v>
      </c>
      <c r="J134" s="16" t="str">
        <f>IFERROR(((HOUR(Tabla1[[#This Row],[Tiempo producción]])*60+MINUTE(Tabla1[[#This Row],[Tiempo producción]]))/60)*$J$1,"")</f>
        <v/>
      </c>
      <c r="K134" s="21" t="str">
        <f>IFERROR(Tabla1[[#This Row],[Cantidad producida]]/Tabla1[[#This Row],[Cantidad teórica]],"")</f>
        <v/>
      </c>
      <c r="L134" s="3"/>
      <c r="M134" s="23">
        <f>IF(Tabla1[[#This Row],[P/LC/CF/CL]]&lt;&gt;"P",Tabla1[[#This Row],[Hora fin ]]-Tabla1[[#This Row],[Hora inicio]],"")</f>
        <v>0.33333333333333326</v>
      </c>
      <c r="N134" t="str">
        <f>IF(Tabla1[[#This Row],[Cantidad producida]]&gt;Tabla1[[#This Row],[Cantidad teórica]],"SI","")</f>
        <v/>
      </c>
    </row>
    <row r="135" spans="1:14" x14ac:dyDescent="0.25">
      <c r="A135" s="2">
        <v>45793</v>
      </c>
      <c r="B135" s="3">
        <v>0.25694444444444442</v>
      </c>
      <c r="C135" s="3">
        <v>0.41666666666666669</v>
      </c>
      <c r="D135" s="19" t="str">
        <f>+IF(Tabla1[[#This Row],[Hora inicio]]&lt;$B$1,"Mañana","Tarde")</f>
        <v>Mañana</v>
      </c>
      <c r="E135" t="s">
        <v>122</v>
      </c>
      <c r="F135" s="19" t="str">
        <f>IF(Tabla1[[#This Row],[P/LC/CF/CL]]="P",Tabla1[[#This Row],[Hora fin ]]-Tabla1[[#This Row],[Hora inicio]],"")</f>
        <v/>
      </c>
      <c r="G135" s="19">
        <f>Tabla1[[#This Row],[Hora fin ]]-Tabla1[[#This Row],[Hora inicio]]</f>
        <v>0.15972222222222227</v>
      </c>
      <c r="H135" s="16">
        <f>WEEKNUM(Tabla1[[#This Row],[Día]])</f>
        <v>20</v>
      </c>
      <c r="J135" s="16" t="str">
        <f>IFERROR(((HOUR(Tabla1[[#This Row],[Tiempo producción]])*60+MINUTE(Tabla1[[#This Row],[Tiempo producción]]))/60)*$J$1,"")</f>
        <v/>
      </c>
      <c r="K135" s="21" t="str">
        <f>IFERROR(Tabla1[[#This Row],[Cantidad producida]]/Tabla1[[#This Row],[Cantidad teórica]],"")</f>
        <v/>
      </c>
      <c r="L135" s="3"/>
      <c r="M135" s="23">
        <f>IF(Tabla1[[#This Row],[P/LC/CF/CL]]&lt;&gt;"P",Tabla1[[#This Row],[Hora fin ]]-Tabla1[[#This Row],[Hora inicio]],"")</f>
        <v>0.15972222222222227</v>
      </c>
      <c r="N135" t="str">
        <f>IF(Tabla1[[#This Row],[Cantidad producida]]&gt;Tabla1[[#This Row],[Cantidad teórica]],"SI","")</f>
        <v/>
      </c>
    </row>
    <row r="136" spans="1:14" x14ac:dyDescent="0.25">
      <c r="A136" s="2">
        <v>45793</v>
      </c>
      <c r="B136" s="3">
        <v>0.41666666666666669</v>
      </c>
      <c r="C136" s="3">
        <v>0.58333333333333337</v>
      </c>
      <c r="D136" s="19" t="str">
        <f>+IF(Tabla1[[#This Row],[Hora inicio]]&lt;$B$1,"Mañana","Tarde")</f>
        <v>Mañana</v>
      </c>
      <c r="E136" t="s">
        <v>123</v>
      </c>
      <c r="F136" s="19" t="str">
        <f>IF(Tabla1[[#This Row],[P/LC/CF/CL]]="P",Tabla1[[#This Row],[Hora fin ]]-Tabla1[[#This Row],[Hora inicio]],"")</f>
        <v/>
      </c>
      <c r="G136" s="19">
        <f>Tabla1[[#This Row],[Hora fin ]]-Tabla1[[#This Row],[Hora inicio]]</f>
        <v>0.16666666666666669</v>
      </c>
      <c r="H136" s="16">
        <f>WEEKNUM(Tabla1[[#This Row],[Día]])</f>
        <v>20</v>
      </c>
      <c r="J136" s="16" t="str">
        <f>IFERROR(((HOUR(Tabla1[[#This Row],[Tiempo producción]])*60+MINUTE(Tabla1[[#This Row],[Tiempo producción]]))/60)*$J$1,"")</f>
        <v/>
      </c>
      <c r="K136" s="21" t="str">
        <f>IFERROR(Tabla1[[#This Row],[Cantidad producida]]/Tabla1[[#This Row],[Cantidad teórica]],"")</f>
        <v/>
      </c>
      <c r="L136" s="3"/>
      <c r="M136" s="23">
        <f>IF(Tabla1[[#This Row],[P/LC/CF/CL]]&lt;&gt;"P",Tabla1[[#This Row],[Hora fin ]]-Tabla1[[#This Row],[Hora inicio]],"")</f>
        <v>0.16666666666666669</v>
      </c>
      <c r="N136" t="str">
        <f>IF(Tabla1[[#This Row],[Cantidad producida]]&gt;Tabla1[[#This Row],[Cantidad teórica]],"SI","")</f>
        <v/>
      </c>
    </row>
    <row r="137" spans="1:14" x14ac:dyDescent="0.25">
      <c r="A137" s="2">
        <v>45793</v>
      </c>
      <c r="B137" s="3">
        <v>0.59375</v>
      </c>
      <c r="C137" s="3">
        <v>0.89583333333333337</v>
      </c>
      <c r="D137" s="19" t="str">
        <f>+IF(Tabla1[[#This Row],[Hora inicio]]&lt;$B$1,"Mañana","Tarde")</f>
        <v>Tarde</v>
      </c>
      <c r="E137" t="s">
        <v>134</v>
      </c>
      <c r="F137" s="19">
        <f>IF(Tabla1[[#This Row],[P/LC/CF/CL]]="P",Tabla1[[#This Row],[Hora fin ]]-Tabla1[[#This Row],[Hora inicio]],"")</f>
        <v>0.30208333333333337</v>
      </c>
      <c r="G137" s="19">
        <f>Tabla1[[#This Row],[Hora fin ]]-Tabla1[[#This Row],[Hora inicio]]</f>
        <v>0.30208333333333337</v>
      </c>
      <c r="H137" s="16">
        <f>WEEKNUM(Tabla1[[#This Row],[Día]])</f>
        <v>20</v>
      </c>
      <c r="J137" s="16">
        <f>IFERROR(((HOUR(Tabla1[[#This Row],[Tiempo producción]])*60+MINUTE(Tabla1[[#This Row],[Tiempo producción]]))/60)*$J$1,"")</f>
        <v>13050</v>
      </c>
      <c r="K137" s="21">
        <f>IFERROR(Tabla1[[#This Row],[Cantidad producida]]/Tabla1[[#This Row],[Cantidad teórica]],"")</f>
        <v>0</v>
      </c>
      <c r="L137" s="3"/>
      <c r="M137" s="23" t="str">
        <f>IF(Tabla1[[#This Row],[P/LC/CF/CL]]&lt;&gt;"P",Tabla1[[#This Row],[Hora fin ]]-Tabla1[[#This Row],[Hora inicio]],"")</f>
        <v/>
      </c>
      <c r="N137" t="str">
        <f>IF(Tabla1[[#This Row],[Cantidad producida]]&gt;Tabla1[[#This Row],[Cantidad teórica]],"SI","")</f>
        <v/>
      </c>
    </row>
    <row r="138" spans="1:14" x14ac:dyDescent="0.25">
      <c r="A138" s="2">
        <v>45796</v>
      </c>
      <c r="B138" s="3">
        <v>0.27083333333333331</v>
      </c>
      <c r="C138" s="3">
        <v>0.39583333333333331</v>
      </c>
      <c r="D138" s="19" t="str">
        <f>+IF(Tabla1[[#This Row],[Hora inicio]]&lt;$B$1,"Mañana","Tarde")</f>
        <v>Mañana</v>
      </c>
      <c r="E138" t="s">
        <v>134</v>
      </c>
      <c r="F138" s="19">
        <f>IF(Tabla1[[#This Row],[P/LC/CF/CL]]="P",Tabla1[[#This Row],[Hora fin ]]-Tabla1[[#This Row],[Hora inicio]],"")</f>
        <v>0.125</v>
      </c>
      <c r="G138" s="19">
        <f>Tabla1[[#This Row],[Hora fin ]]-Tabla1[[#This Row],[Hora inicio]]</f>
        <v>0.125</v>
      </c>
      <c r="H138" s="16">
        <f>WEEKNUM(Tabla1[[#This Row],[Día]])</f>
        <v>21</v>
      </c>
      <c r="J138" s="16">
        <f>IFERROR(((HOUR(Tabla1[[#This Row],[Tiempo producción]])*60+MINUTE(Tabla1[[#This Row],[Tiempo producción]]))/60)*$J$1,"")</f>
        <v>5400</v>
      </c>
      <c r="K138" s="21">
        <f>IFERROR(Tabla1[[#This Row],[Cantidad producida]]/Tabla1[[#This Row],[Cantidad teórica]],"")</f>
        <v>0</v>
      </c>
      <c r="L138" s="3"/>
      <c r="M138" s="23" t="str">
        <f>IF(Tabla1[[#This Row],[P/LC/CF/CL]]&lt;&gt;"P",Tabla1[[#This Row],[Hora fin ]]-Tabla1[[#This Row],[Hora inicio]],"")</f>
        <v/>
      </c>
      <c r="N138" t="str">
        <f>IF(Tabla1[[#This Row],[Cantidad producida]]&gt;Tabla1[[#This Row],[Cantidad teórica]],"SI","")</f>
        <v/>
      </c>
    </row>
    <row r="139" spans="1:14" x14ac:dyDescent="0.25">
      <c r="A139" s="2">
        <v>45796</v>
      </c>
      <c r="B139" s="3">
        <v>0.39583333333333331</v>
      </c>
      <c r="C139" s="3">
        <v>0.40277777777777779</v>
      </c>
      <c r="D139" s="19" t="str">
        <f>+IF(Tabla1[[#This Row],[Hora inicio]]&lt;$B$1,"Mañana","Tarde")</f>
        <v>Mañana</v>
      </c>
      <c r="E139" t="s">
        <v>124</v>
      </c>
      <c r="F139" s="19" t="str">
        <f>IF(Tabla1[[#This Row],[P/LC/CF/CL]]="P",Tabla1[[#This Row],[Hora fin ]]-Tabla1[[#This Row],[Hora inicio]],"")</f>
        <v/>
      </c>
      <c r="G139" s="19">
        <f>Tabla1[[#This Row],[Hora fin ]]-Tabla1[[#This Row],[Hora inicio]]</f>
        <v>6.9444444444444753E-3</v>
      </c>
      <c r="H139" s="16">
        <f>WEEKNUM(Tabla1[[#This Row],[Día]])</f>
        <v>21</v>
      </c>
      <c r="J139" s="16" t="str">
        <f>IFERROR(((HOUR(Tabla1[[#This Row],[Tiempo producción]])*60+MINUTE(Tabla1[[#This Row],[Tiempo producción]]))/60)*$J$1,"")</f>
        <v/>
      </c>
      <c r="K139" s="21" t="str">
        <f>IFERROR(Tabla1[[#This Row],[Cantidad producida]]/Tabla1[[#This Row],[Cantidad teórica]],"")</f>
        <v/>
      </c>
      <c r="L139" s="3"/>
      <c r="M139" s="23">
        <f>IF(Tabla1[[#This Row],[P/LC/CF/CL]]&lt;&gt;"P",Tabla1[[#This Row],[Hora fin ]]-Tabla1[[#This Row],[Hora inicio]],"")</f>
        <v>6.9444444444444753E-3</v>
      </c>
      <c r="N139" t="str">
        <f>IF(Tabla1[[#This Row],[Cantidad producida]]&gt;Tabla1[[#This Row],[Cantidad teórica]],"SI","")</f>
        <v/>
      </c>
    </row>
    <row r="140" spans="1:14" x14ac:dyDescent="0.25">
      <c r="A140" s="2">
        <v>45796</v>
      </c>
      <c r="B140" s="3">
        <v>0.40277777777777779</v>
      </c>
      <c r="C140" s="3">
        <v>0.56944444444444442</v>
      </c>
      <c r="D140" s="19" t="str">
        <f>+IF(Tabla1[[#This Row],[Hora inicio]]&lt;$B$1,"Mañana","Tarde")</f>
        <v>Mañana</v>
      </c>
      <c r="E140" t="s">
        <v>134</v>
      </c>
      <c r="F140" s="19">
        <f>IF(Tabla1[[#This Row],[P/LC/CF/CL]]="P",Tabla1[[#This Row],[Hora fin ]]-Tabla1[[#This Row],[Hora inicio]],"")</f>
        <v>0.16666666666666663</v>
      </c>
      <c r="G140" s="19">
        <f>Tabla1[[#This Row],[Hora fin ]]-Tabla1[[#This Row],[Hora inicio]]</f>
        <v>0.16666666666666663</v>
      </c>
      <c r="H140" s="16">
        <f>WEEKNUM(Tabla1[[#This Row],[Día]])</f>
        <v>21</v>
      </c>
      <c r="J140" s="16">
        <f>IFERROR(((HOUR(Tabla1[[#This Row],[Tiempo producción]])*60+MINUTE(Tabla1[[#This Row],[Tiempo producción]]))/60)*$J$1,"")</f>
        <v>7200</v>
      </c>
      <c r="K140" s="21">
        <f>IFERROR(Tabla1[[#This Row],[Cantidad producida]]/Tabla1[[#This Row],[Cantidad teórica]],"")</f>
        <v>0</v>
      </c>
      <c r="L140" s="3"/>
      <c r="M140" s="23" t="str">
        <f>IF(Tabla1[[#This Row],[P/LC/CF/CL]]&lt;&gt;"P",Tabla1[[#This Row],[Hora fin ]]-Tabla1[[#This Row],[Hora inicio]],"")</f>
        <v/>
      </c>
      <c r="N140" t="str">
        <f>IF(Tabla1[[#This Row],[Cantidad producida]]&gt;Tabla1[[#This Row],[Cantidad teórica]],"SI","")</f>
        <v/>
      </c>
    </row>
    <row r="141" spans="1:14" x14ac:dyDescent="0.25">
      <c r="A141" s="2">
        <v>45796</v>
      </c>
      <c r="B141" s="3">
        <v>0.59375</v>
      </c>
      <c r="C141" s="3">
        <v>0.81944444444444442</v>
      </c>
      <c r="D141" s="19" t="str">
        <f>+IF(Tabla1[[#This Row],[Hora inicio]]&lt;$B$1,"Mañana","Tarde")</f>
        <v>Tarde</v>
      </c>
      <c r="E141" t="s">
        <v>134</v>
      </c>
      <c r="F141" s="19">
        <f>IF(Tabla1[[#This Row],[P/LC/CF/CL]]="P",Tabla1[[#This Row],[Hora fin ]]-Tabla1[[#This Row],[Hora inicio]],"")</f>
        <v>0.22569444444444442</v>
      </c>
      <c r="G141" s="19">
        <f>Tabla1[[#This Row],[Hora fin ]]-Tabla1[[#This Row],[Hora inicio]]</f>
        <v>0.22569444444444442</v>
      </c>
      <c r="H141" s="16">
        <f>WEEKNUM(Tabla1[[#This Row],[Día]])</f>
        <v>21</v>
      </c>
      <c r="J141" s="16">
        <f>IFERROR(((HOUR(Tabla1[[#This Row],[Tiempo producción]])*60+MINUTE(Tabla1[[#This Row],[Tiempo producción]]))/60)*$J$1,"")</f>
        <v>9750</v>
      </c>
      <c r="K141" s="21">
        <f>IFERROR(Tabla1[[#This Row],[Cantidad producida]]/Tabla1[[#This Row],[Cantidad teórica]],"")</f>
        <v>0</v>
      </c>
      <c r="L141" s="3"/>
      <c r="M141" s="23" t="str">
        <f>IF(Tabla1[[#This Row],[P/LC/CF/CL]]&lt;&gt;"P",Tabla1[[#This Row],[Hora fin ]]-Tabla1[[#This Row],[Hora inicio]],"")</f>
        <v/>
      </c>
      <c r="N141" t="str">
        <f>IF(Tabla1[[#This Row],[Cantidad producida]]&gt;Tabla1[[#This Row],[Cantidad teórica]],"SI","")</f>
        <v/>
      </c>
    </row>
    <row r="142" spans="1:14" x14ac:dyDescent="0.25">
      <c r="A142" s="2">
        <v>45797</v>
      </c>
      <c r="B142" s="3">
        <v>0.2638888888888889</v>
      </c>
      <c r="C142" s="3">
        <v>0.3125</v>
      </c>
      <c r="D142" s="19" t="str">
        <f>+IF(Tabla1[[#This Row],[Hora inicio]]&lt;$B$1,"Mañana","Tarde")</f>
        <v>Mañana</v>
      </c>
      <c r="E142" t="s">
        <v>124</v>
      </c>
      <c r="F142" s="19" t="str">
        <f>IF(Tabla1[[#This Row],[P/LC/CF/CL]]="P",Tabla1[[#This Row],[Hora fin ]]-Tabla1[[#This Row],[Hora inicio]],"")</f>
        <v/>
      </c>
      <c r="G142" s="19">
        <f>Tabla1[[#This Row],[Hora fin ]]-Tabla1[[#This Row],[Hora inicio]]</f>
        <v>4.8611111111111105E-2</v>
      </c>
      <c r="H142" s="16">
        <f>WEEKNUM(Tabla1[[#This Row],[Día]])</f>
        <v>21</v>
      </c>
      <c r="J142" s="16" t="str">
        <f>IFERROR(((HOUR(Tabla1[[#This Row],[Tiempo producción]])*60+MINUTE(Tabla1[[#This Row],[Tiempo producción]]))/60)*$J$1,"")</f>
        <v/>
      </c>
      <c r="K142" s="21" t="str">
        <f>IFERROR(Tabla1[[#This Row],[Cantidad producida]]/Tabla1[[#This Row],[Cantidad teórica]],"")</f>
        <v/>
      </c>
      <c r="L142" s="3"/>
      <c r="M142" s="23">
        <f>IF(Tabla1[[#This Row],[P/LC/CF/CL]]&lt;&gt;"P",Tabla1[[#This Row],[Hora fin ]]-Tabla1[[#This Row],[Hora inicio]],"")</f>
        <v>4.8611111111111105E-2</v>
      </c>
      <c r="N142" t="str">
        <f>IF(Tabla1[[#This Row],[Cantidad producida]]&gt;Tabla1[[#This Row],[Cantidad teórica]],"SI","")</f>
        <v/>
      </c>
    </row>
    <row r="143" spans="1:14" x14ac:dyDescent="0.25">
      <c r="A143" s="2">
        <v>45797</v>
      </c>
      <c r="B143" s="3">
        <v>0.84027777777777779</v>
      </c>
      <c r="C143" s="3">
        <v>0.89583333333333337</v>
      </c>
      <c r="D143" s="19" t="str">
        <f>+IF(Tabla1[[#This Row],[Hora inicio]]&lt;$B$1,"Mañana","Tarde")</f>
        <v>Tarde</v>
      </c>
      <c r="E143" t="s">
        <v>134</v>
      </c>
      <c r="F143" s="19">
        <f>IF(Tabla1[[#This Row],[P/LC/CF/CL]]="P",Tabla1[[#This Row],[Hora fin ]]-Tabla1[[#This Row],[Hora inicio]],"")</f>
        <v>5.555555555555558E-2</v>
      </c>
      <c r="G143" s="19">
        <f>Tabla1[[#This Row],[Hora fin ]]-Tabla1[[#This Row],[Hora inicio]]</f>
        <v>5.555555555555558E-2</v>
      </c>
      <c r="H143" s="16">
        <f>WEEKNUM(Tabla1[[#This Row],[Día]])</f>
        <v>21</v>
      </c>
      <c r="J143" s="16">
        <f>IFERROR(((HOUR(Tabla1[[#This Row],[Tiempo producción]])*60+MINUTE(Tabla1[[#This Row],[Tiempo producción]]))/60)*$J$1,"")</f>
        <v>2400</v>
      </c>
      <c r="K143" s="21">
        <f>IFERROR(Tabla1[[#This Row],[Cantidad producida]]/Tabla1[[#This Row],[Cantidad teórica]],"")</f>
        <v>0</v>
      </c>
      <c r="L143" s="3"/>
      <c r="M143" s="23" t="str">
        <f>IF(Tabla1[[#This Row],[P/LC/CF/CL]]&lt;&gt;"P",Tabla1[[#This Row],[Hora fin ]]-Tabla1[[#This Row],[Hora inicio]],"")</f>
        <v/>
      </c>
      <c r="N143" t="str">
        <f>IF(Tabla1[[#This Row],[Cantidad producida]]&gt;Tabla1[[#This Row],[Cantidad teórica]],"SI","")</f>
        <v/>
      </c>
    </row>
    <row r="144" spans="1:14" x14ac:dyDescent="0.25">
      <c r="A144" s="2">
        <v>45797</v>
      </c>
      <c r="B144" s="3">
        <v>0.36805555555555558</v>
      </c>
      <c r="C144" s="3">
        <v>0.5625</v>
      </c>
      <c r="D144" s="19" t="str">
        <f>+IF(Tabla1[[#This Row],[Hora inicio]]&lt;$B$1,"Mañana","Tarde")</f>
        <v>Mañana</v>
      </c>
      <c r="E144" t="s">
        <v>137</v>
      </c>
      <c r="F144" s="19">
        <f>IF(Tabla1[[#This Row],[P/LC/CF/CL]]="P",Tabla1[[#This Row],[Hora fin ]]-Tabla1[[#This Row],[Hora inicio]],"")</f>
        <v>0.19444444444444442</v>
      </c>
      <c r="G144" s="19">
        <f>Tabla1[[#This Row],[Hora fin ]]-Tabla1[[#This Row],[Hora inicio]]</f>
        <v>0.19444444444444442</v>
      </c>
      <c r="H144" s="16">
        <f>WEEKNUM(Tabla1[[#This Row],[Día]])</f>
        <v>21</v>
      </c>
      <c r="J144" s="16">
        <f>IFERROR(((HOUR(Tabla1[[#This Row],[Tiempo producción]])*60+MINUTE(Tabla1[[#This Row],[Tiempo producción]]))/60)*$J$1,"")</f>
        <v>8400</v>
      </c>
      <c r="K144" s="21">
        <f>IFERROR(Tabla1[[#This Row],[Cantidad producida]]/Tabla1[[#This Row],[Cantidad teórica]],"")</f>
        <v>0</v>
      </c>
      <c r="L144" s="3"/>
      <c r="M144" s="23" t="str">
        <f>IF(Tabla1[[#This Row],[P/LC/CF/CL]]&lt;&gt;"P",Tabla1[[#This Row],[Hora fin ]]-Tabla1[[#This Row],[Hora inicio]],"")</f>
        <v/>
      </c>
      <c r="N144" t="str">
        <f>IF(Tabla1[[#This Row],[Cantidad producida]]&gt;Tabla1[[#This Row],[Cantidad teórica]],"SI","")</f>
        <v/>
      </c>
    </row>
    <row r="145" spans="1:14" x14ac:dyDescent="0.25">
      <c r="A145" s="2">
        <v>45797</v>
      </c>
      <c r="B145" s="3">
        <v>0.59722222222222221</v>
      </c>
      <c r="C145" s="3">
        <v>0.85069444444444442</v>
      </c>
      <c r="D145" s="19" t="str">
        <f>+IF(Tabla1[[#This Row],[Hora inicio]]&lt;$B$1,"Mañana","Tarde")</f>
        <v>Tarde</v>
      </c>
      <c r="E145" t="s">
        <v>137</v>
      </c>
      <c r="F145" s="19">
        <f>IF(Tabla1[[#This Row],[P/LC/CF/CL]]="P",Tabla1[[#This Row],[Hora fin ]]-Tabla1[[#This Row],[Hora inicio]],"")</f>
        <v>0.25347222222222221</v>
      </c>
      <c r="G145" s="19">
        <f>Tabla1[[#This Row],[Hora fin ]]-Tabla1[[#This Row],[Hora inicio]]</f>
        <v>0.25347222222222221</v>
      </c>
      <c r="H145" s="16">
        <f>WEEKNUM(Tabla1[[#This Row],[Día]])</f>
        <v>21</v>
      </c>
      <c r="J145" s="16">
        <f>IFERROR(((HOUR(Tabla1[[#This Row],[Tiempo producción]])*60+MINUTE(Tabla1[[#This Row],[Tiempo producción]]))/60)*$J$1,"")</f>
        <v>10950</v>
      </c>
      <c r="K145" s="21">
        <f>IFERROR(Tabla1[[#This Row],[Cantidad producida]]/Tabla1[[#This Row],[Cantidad teórica]],"")</f>
        <v>0</v>
      </c>
      <c r="L145" s="3"/>
      <c r="M145" s="23" t="str">
        <f>IF(Tabla1[[#This Row],[P/LC/CF/CL]]&lt;&gt;"P",Tabla1[[#This Row],[Hora fin ]]-Tabla1[[#This Row],[Hora inicio]],"")</f>
        <v/>
      </c>
      <c r="N145" t="str">
        <f>IF(Tabla1[[#This Row],[Cantidad producida]]&gt;Tabla1[[#This Row],[Cantidad teórica]],"SI","")</f>
        <v/>
      </c>
    </row>
    <row r="146" spans="1:14" x14ac:dyDescent="0.25">
      <c r="A146" s="2">
        <v>45798</v>
      </c>
      <c r="B146" s="3"/>
      <c r="C146" s="3"/>
      <c r="D146" s="19" t="str">
        <f>+IF(Tabla1[[#This Row],[Hora inicio]]&lt;$B$1,"Mañana","Tarde")</f>
        <v>Mañana</v>
      </c>
      <c r="F146" s="19">
        <v>0.15277777777777779</v>
      </c>
      <c r="G146" s="19">
        <f>Tabla1[[#This Row],[Hora fin ]]-Tabla1[[#This Row],[Hora inicio]]</f>
        <v>0</v>
      </c>
      <c r="H146" s="16">
        <f>WEEKNUM(Tabla1[[#This Row],[Día]])</f>
        <v>21</v>
      </c>
      <c r="J146" s="16">
        <f>IFERROR(((HOUR(Tabla1[[#This Row],[Tiempo producción]])*60+MINUTE(Tabla1[[#This Row],[Tiempo producción]]))/60)*$J$1,"")</f>
        <v>6600</v>
      </c>
      <c r="K146" s="21">
        <f>IFERROR(Tabla1[[#This Row],[Cantidad producida]]/Tabla1[[#This Row],[Cantidad teórica]],"")</f>
        <v>0</v>
      </c>
      <c r="L146" s="3"/>
      <c r="M146" s="23">
        <f>IF(Tabla1[[#This Row],[P/LC/CF/CL]]&lt;&gt;"P",Tabla1[[#This Row],[Hora fin ]]-Tabla1[[#This Row],[Hora inicio]],"")</f>
        <v>0</v>
      </c>
      <c r="N146" t="str">
        <f>IF(Tabla1[[#This Row],[Cantidad producida]]&gt;Tabla1[[#This Row],[Cantidad teórica]],"SI","")</f>
        <v/>
      </c>
    </row>
    <row r="147" spans="1:14" x14ac:dyDescent="0.25">
      <c r="A147" s="2">
        <v>45798</v>
      </c>
      <c r="B147" s="3">
        <v>0.2638888888888889</v>
      </c>
      <c r="C147" s="3">
        <v>0.41666666666666669</v>
      </c>
      <c r="D147" s="19" t="str">
        <f>+IF(Tabla1[[#This Row],[Hora inicio]]&lt;$B$1,"Mañana","Tarde")</f>
        <v>Mañana</v>
      </c>
      <c r="E147" t="s">
        <v>134</v>
      </c>
      <c r="F147" s="19">
        <f>IF(Tabla1[[#This Row],[P/LC/CF/CL]]="P",Tabla1[[#This Row],[Hora fin ]]-Tabla1[[#This Row],[Hora inicio]],"")</f>
        <v>0.15277777777777779</v>
      </c>
      <c r="G147" s="19">
        <f>Tabla1[[#This Row],[Hora fin ]]-Tabla1[[#This Row],[Hora inicio]]</f>
        <v>0.15277777777777779</v>
      </c>
      <c r="H147" s="16">
        <f>WEEKNUM(Tabla1[[#This Row],[Día]])</f>
        <v>21</v>
      </c>
      <c r="J147" s="16">
        <f>IFERROR(((HOUR(Tabla1[[#This Row],[Tiempo producción]])*60+MINUTE(Tabla1[[#This Row],[Tiempo producción]]))/60)*$J$1,"")</f>
        <v>6600</v>
      </c>
      <c r="K147" s="21">
        <f>IFERROR(Tabla1[[#This Row],[Cantidad producida]]/Tabla1[[#This Row],[Cantidad teórica]],"")</f>
        <v>0</v>
      </c>
      <c r="L147" s="3"/>
      <c r="M147" s="23" t="str">
        <f>IF(Tabla1[[#This Row],[P/LC/CF/CL]]&lt;&gt;"P",Tabla1[[#This Row],[Hora fin ]]-Tabla1[[#This Row],[Hora inicio]],"")</f>
        <v/>
      </c>
      <c r="N147" t="str">
        <f>IF(Tabla1[[#This Row],[Cantidad producida]]&gt;Tabla1[[#This Row],[Cantidad teórica]],"SI","")</f>
        <v/>
      </c>
    </row>
    <row r="148" spans="1:14" x14ac:dyDescent="0.25">
      <c r="A148" s="2">
        <v>45799</v>
      </c>
      <c r="B148" s="3">
        <v>0.59375</v>
      </c>
      <c r="C148" s="3">
        <v>0.93055555555555558</v>
      </c>
      <c r="D148" s="19" t="str">
        <f>+IF(Tabla1[[#This Row],[Hora inicio]]&lt;$B$1,"Mañana","Tarde")</f>
        <v>Tarde</v>
      </c>
      <c r="E148" t="s">
        <v>137</v>
      </c>
      <c r="F148" s="19">
        <f>IF(Tabla1[[#This Row],[P/LC/CF/CL]]="P",Tabla1[[#This Row],[Hora fin ]]-Tabla1[[#This Row],[Hora inicio]],"")</f>
        <v>0.33680555555555558</v>
      </c>
      <c r="G148" s="19">
        <f>Tabla1[[#This Row],[Hora fin ]]-Tabla1[[#This Row],[Hora inicio]]</f>
        <v>0.33680555555555558</v>
      </c>
      <c r="H148" s="16">
        <f>WEEKNUM(Tabla1[[#This Row],[Día]])</f>
        <v>21</v>
      </c>
      <c r="J148" s="16">
        <f>IFERROR(((HOUR(Tabla1[[#This Row],[Tiempo producción]])*60+MINUTE(Tabla1[[#This Row],[Tiempo producción]]))/60)*$J$1,"")</f>
        <v>14550.000000000002</v>
      </c>
      <c r="K148" s="21">
        <f>IFERROR(Tabla1[[#This Row],[Cantidad producida]]/Tabla1[[#This Row],[Cantidad teórica]],"")</f>
        <v>0</v>
      </c>
      <c r="L148" s="3"/>
      <c r="M148" s="23" t="str">
        <f>IF(Tabla1[[#This Row],[P/LC/CF/CL]]&lt;&gt;"P",Tabla1[[#This Row],[Hora fin ]]-Tabla1[[#This Row],[Hora inicio]],"")</f>
        <v/>
      </c>
      <c r="N148" t="str">
        <f>IF(Tabla1[[#This Row],[Cantidad producida]]&gt;Tabla1[[#This Row],[Cantidad teórica]],"SI","")</f>
        <v/>
      </c>
    </row>
    <row r="149" spans="1:14" x14ac:dyDescent="0.25">
      <c r="A149" s="2">
        <v>45800</v>
      </c>
      <c r="B149" s="3">
        <v>0.28125</v>
      </c>
      <c r="C149" s="3">
        <v>0.5625</v>
      </c>
      <c r="D149" s="19" t="str">
        <f>+IF(Tabla1[[#This Row],[Hora inicio]]&lt;$B$1,"Mañana","Tarde")</f>
        <v>Mañana</v>
      </c>
      <c r="E149" t="s">
        <v>134</v>
      </c>
      <c r="F149" s="19">
        <f>IF(Tabla1[[#This Row],[P/LC/CF/CL]]="P",Tabla1[[#This Row],[Hora fin ]]-Tabla1[[#This Row],[Hora inicio]],"")</f>
        <v>0.28125</v>
      </c>
      <c r="G149" s="19">
        <f>Tabla1[[#This Row],[Hora fin ]]-Tabla1[[#This Row],[Hora inicio]]</f>
        <v>0.28125</v>
      </c>
      <c r="H149" s="16">
        <f>WEEKNUM(Tabla1[[#This Row],[Día]])</f>
        <v>21</v>
      </c>
      <c r="J149" s="16">
        <f>IFERROR(((HOUR(Tabla1[[#This Row],[Tiempo producción]])*60+MINUTE(Tabla1[[#This Row],[Tiempo producción]]))/60)*$J$1,"")</f>
        <v>12150</v>
      </c>
      <c r="K149" s="21">
        <f>IFERROR(Tabla1[[#This Row],[Cantidad producida]]/Tabla1[[#This Row],[Cantidad teórica]],"")</f>
        <v>0</v>
      </c>
      <c r="L149" s="3"/>
      <c r="M149" s="23" t="str">
        <f>IF(Tabla1[[#This Row],[P/LC/CF/CL]]&lt;&gt;"P",Tabla1[[#This Row],[Hora fin ]]-Tabla1[[#This Row],[Hora inicio]],"")</f>
        <v/>
      </c>
      <c r="N149" t="str">
        <f>IF(Tabla1[[#This Row],[Cantidad producida]]&gt;Tabla1[[#This Row],[Cantidad teórica]],"SI","")</f>
        <v/>
      </c>
    </row>
    <row r="150" spans="1:14" x14ac:dyDescent="0.25">
      <c r="A150" s="2">
        <v>45800</v>
      </c>
      <c r="B150" s="3"/>
      <c r="C150" s="3"/>
      <c r="D150" s="19" t="str">
        <f>+IF(Tabla1[[#This Row],[Hora inicio]]&lt;$B$1,"Mañana","Tarde")</f>
        <v>Mañana</v>
      </c>
      <c r="F150" s="19">
        <v>0.14583333333333334</v>
      </c>
      <c r="G150" s="19">
        <f>Tabla1[[#This Row],[Hora fin ]]-Tabla1[[#This Row],[Hora inicio]]</f>
        <v>0</v>
      </c>
      <c r="H150" s="16">
        <f>WEEKNUM(Tabla1[[#This Row],[Día]])</f>
        <v>21</v>
      </c>
      <c r="J150" s="16">
        <f>IFERROR(((HOUR(Tabla1[[#This Row],[Tiempo producción]])*60+MINUTE(Tabla1[[#This Row],[Tiempo producción]]))/60)*$J$1,"")</f>
        <v>6300</v>
      </c>
      <c r="K150" s="21">
        <f>IFERROR(Tabla1[[#This Row],[Cantidad producida]]/Tabla1[[#This Row],[Cantidad teórica]],"")</f>
        <v>0</v>
      </c>
      <c r="L150" s="3"/>
      <c r="M150" s="23">
        <f>IF(Tabla1[[#This Row],[P/LC/CF/CL]]&lt;&gt;"P",Tabla1[[#This Row],[Hora fin ]]-Tabla1[[#This Row],[Hora inicio]],"")</f>
        <v>0</v>
      </c>
      <c r="N150" t="str">
        <f>IF(Tabla1[[#This Row],[Cantidad producida]]&gt;Tabla1[[#This Row],[Cantidad teórica]],"SI","")</f>
        <v/>
      </c>
    </row>
    <row r="151" spans="1:14" x14ac:dyDescent="0.25">
      <c r="A151" s="2">
        <v>45800</v>
      </c>
      <c r="B151" s="3">
        <v>0.78472222222222221</v>
      </c>
      <c r="C151" s="3">
        <v>0.89583333333333337</v>
      </c>
      <c r="D151" s="19" t="str">
        <f>+IF(Tabla1[[#This Row],[Hora inicio]]&lt;$B$1,"Mañana","Tarde")</f>
        <v>Tarde</v>
      </c>
      <c r="E151" t="s">
        <v>134</v>
      </c>
      <c r="F151" s="19">
        <f>IF(Tabla1[[#This Row],[P/LC/CF/CL]]="P",Tabla1[[#This Row],[Hora fin ]]-Tabla1[[#This Row],[Hora inicio]],"")</f>
        <v>0.11111111111111116</v>
      </c>
      <c r="G151" s="19">
        <f>Tabla1[[#This Row],[Hora fin ]]-Tabla1[[#This Row],[Hora inicio]]</f>
        <v>0.11111111111111116</v>
      </c>
      <c r="H151" s="16">
        <f>WEEKNUM(Tabla1[[#This Row],[Día]])</f>
        <v>21</v>
      </c>
      <c r="J151" s="16">
        <f>IFERROR(((HOUR(Tabla1[[#This Row],[Tiempo producción]])*60+MINUTE(Tabla1[[#This Row],[Tiempo producción]]))/60)*$J$1,"")</f>
        <v>4800</v>
      </c>
      <c r="K151" s="21">
        <f>IFERROR(Tabla1[[#This Row],[Cantidad producida]]/Tabla1[[#This Row],[Cantidad teórica]],"")</f>
        <v>0</v>
      </c>
      <c r="L151" s="3"/>
      <c r="M151" s="23" t="str">
        <f>IF(Tabla1[[#This Row],[P/LC/CF/CL]]&lt;&gt;"P",Tabla1[[#This Row],[Hora fin ]]-Tabla1[[#This Row],[Hora inicio]],"")</f>
        <v/>
      </c>
      <c r="N151" t="str">
        <f>IF(Tabla1[[#This Row],[Cantidad producida]]&gt;Tabla1[[#This Row],[Cantidad teórica]],"SI","")</f>
        <v/>
      </c>
    </row>
    <row r="152" spans="1:14" x14ac:dyDescent="0.25">
      <c r="A152" s="2">
        <v>45803</v>
      </c>
      <c r="B152" s="3">
        <v>0.25</v>
      </c>
      <c r="C152" s="3">
        <v>0.52083333333333337</v>
      </c>
      <c r="D152" s="19" t="str">
        <f>+IF(Tabla1[[#This Row],[Hora inicio]]&lt;$B$1,"Mañana","Tarde")</f>
        <v>Mañana</v>
      </c>
      <c r="E152" t="s">
        <v>134</v>
      </c>
      <c r="F152" s="19">
        <f>IF(Tabla1[[#This Row],[P/LC/CF/CL]]="P",Tabla1[[#This Row],[Hora fin ]]-Tabla1[[#This Row],[Hora inicio]],"")</f>
        <v>0.27083333333333337</v>
      </c>
      <c r="G152" s="19">
        <f>Tabla1[[#This Row],[Hora fin ]]-Tabla1[[#This Row],[Hora inicio]]</f>
        <v>0.27083333333333337</v>
      </c>
      <c r="H152" s="16">
        <f>WEEKNUM(Tabla1[[#This Row],[Día]])</f>
        <v>22</v>
      </c>
      <c r="J152" s="16">
        <f>IFERROR(((HOUR(Tabla1[[#This Row],[Tiempo producción]])*60+MINUTE(Tabla1[[#This Row],[Tiempo producción]]))/60)*$J$1,"")</f>
        <v>11700</v>
      </c>
      <c r="K152" s="21">
        <f>IFERROR(Tabla1[[#This Row],[Cantidad producida]]/Tabla1[[#This Row],[Cantidad teórica]],"")</f>
        <v>0</v>
      </c>
      <c r="L152" s="3"/>
      <c r="M152" s="23" t="str">
        <f>IF(Tabla1[[#This Row],[P/LC/CF/CL]]&lt;&gt;"P",Tabla1[[#This Row],[Hora fin ]]-Tabla1[[#This Row],[Hora inicio]],"")</f>
        <v/>
      </c>
      <c r="N152" t="str">
        <f>IF(Tabla1[[#This Row],[Cantidad producida]]&gt;Tabla1[[#This Row],[Cantidad teórica]],"SI","")</f>
        <v/>
      </c>
    </row>
    <row r="153" spans="1:14" x14ac:dyDescent="0.25">
      <c r="A153" s="2">
        <v>45803</v>
      </c>
      <c r="B153" s="3">
        <v>0.60416666666666663</v>
      </c>
      <c r="C153" s="3">
        <v>0.89583333333333337</v>
      </c>
      <c r="D153" s="19" t="str">
        <f>+IF(Tabla1[[#This Row],[Hora inicio]]&lt;$B$1,"Mañana","Tarde")</f>
        <v>Tarde</v>
      </c>
      <c r="E153" t="s">
        <v>137</v>
      </c>
      <c r="F153" s="19">
        <f>IF(Tabla1[[#This Row],[P/LC/CF/CL]]="P",Tabla1[[#This Row],[Hora fin ]]-Tabla1[[#This Row],[Hora inicio]],"")</f>
        <v>0.29166666666666674</v>
      </c>
      <c r="G153" s="19">
        <f>Tabla1[[#This Row],[Hora fin ]]-Tabla1[[#This Row],[Hora inicio]]</f>
        <v>0.29166666666666674</v>
      </c>
      <c r="H153" s="16">
        <f>WEEKNUM(Tabla1[[#This Row],[Día]])</f>
        <v>22</v>
      </c>
      <c r="J153" s="16">
        <f>IFERROR(((HOUR(Tabla1[[#This Row],[Tiempo producción]])*60+MINUTE(Tabla1[[#This Row],[Tiempo producción]]))/60)*$J$1,"")</f>
        <v>12600</v>
      </c>
      <c r="K153" s="21">
        <f>IFERROR(Tabla1[[#This Row],[Cantidad producida]]/Tabla1[[#This Row],[Cantidad teórica]],"")</f>
        <v>0</v>
      </c>
      <c r="L153" s="3"/>
      <c r="M153" s="23" t="str">
        <f>IF(Tabla1[[#This Row],[P/LC/CF/CL]]&lt;&gt;"P",Tabla1[[#This Row],[Hora fin ]]-Tabla1[[#This Row],[Hora inicio]],"")</f>
        <v/>
      </c>
      <c r="N153" t="str">
        <f>IF(Tabla1[[#This Row],[Cantidad producida]]&gt;Tabla1[[#This Row],[Cantidad teórica]],"SI","")</f>
        <v/>
      </c>
    </row>
    <row r="154" spans="1:14" x14ac:dyDescent="0.25">
      <c r="A154" s="2">
        <v>45804</v>
      </c>
      <c r="B154" s="3">
        <v>0.2673611111111111</v>
      </c>
      <c r="C154" s="3">
        <v>0.38194444444444442</v>
      </c>
      <c r="D154" s="19" t="str">
        <f>+IF(Tabla1[[#This Row],[Hora inicio]]&lt;$B$1,"Mañana","Tarde")</f>
        <v>Mañana</v>
      </c>
      <c r="E154" t="s">
        <v>137</v>
      </c>
      <c r="F154" s="19">
        <f>IF(Tabla1[[#This Row],[P/LC/CF/CL]]="P",Tabla1[[#This Row],[Hora fin ]]-Tabla1[[#This Row],[Hora inicio]],"")</f>
        <v>0.11458333333333331</v>
      </c>
      <c r="G154" s="19">
        <f>Tabla1[[#This Row],[Hora fin ]]-Tabla1[[#This Row],[Hora inicio]]</f>
        <v>0.11458333333333331</v>
      </c>
      <c r="H154" s="16">
        <f>WEEKNUM(Tabla1[[#This Row],[Día]])</f>
        <v>22</v>
      </c>
      <c r="J154" s="16">
        <f>IFERROR(((HOUR(Tabla1[[#This Row],[Tiempo producción]])*60+MINUTE(Tabla1[[#This Row],[Tiempo producción]]))/60)*$J$1,"")</f>
        <v>4950</v>
      </c>
      <c r="K154" s="21">
        <f>IFERROR(Tabla1[[#This Row],[Cantidad producida]]/Tabla1[[#This Row],[Cantidad teórica]],"")</f>
        <v>0</v>
      </c>
      <c r="L154" s="3"/>
      <c r="M154" s="23" t="str">
        <f>IF(Tabla1[[#This Row],[P/LC/CF/CL]]&lt;&gt;"P",Tabla1[[#This Row],[Hora fin ]]-Tabla1[[#This Row],[Hora inicio]],"")</f>
        <v/>
      </c>
      <c r="N154" t="str">
        <f>IF(Tabla1[[#This Row],[Cantidad producida]]&gt;Tabla1[[#This Row],[Cantidad teórica]],"SI","")</f>
        <v/>
      </c>
    </row>
    <row r="155" spans="1:14" x14ac:dyDescent="0.25">
      <c r="A155" s="2">
        <v>45804</v>
      </c>
      <c r="B155" s="3">
        <v>0.59722222222222221</v>
      </c>
      <c r="C155" s="3">
        <v>0.89583333333333337</v>
      </c>
      <c r="D155" s="19" t="str">
        <f>+IF(Tabla1[[#This Row],[Hora inicio]]&lt;$B$1,"Mañana","Tarde")</f>
        <v>Tarde</v>
      </c>
      <c r="E155" t="s">
        <v>137</v>
      </c>
      <c r="F155" s="19">
        <f>IF(Tabla1[[#This Row],[P/LC/CF/CL]]="P",Tabla1[[#This Row],[Hora fin ]]-Tabla1[[#This Row],[Hora inicio]],"")</f>
        <v>0.29861111111111116</v>
      </c>
      <c r="G155" s="19">
        <f>Tabla1[[#This Row],[Hora fin ]]-Tabla1[[#This Row],[Hora inicio]]</f>
        <v>0.29861111111111116</v>
      </c>
      <c r="H155" s="16">
        <f>WEEKNUM(Tabla1[[#This Row],[Día]])</f>
        <v>22</v>
      </c>
      <c r="J155" s="16">
        <f>IFERROR(((HOUR(Tabla1[[#This Row],[Tiempo producción]])*60+MINUTE(Tabla1[[#This Row],[Tiempo producción]]))/60)*$J$1,"")</f>
        <v>12900</v>
      </c>
      <c r="K155" s="21">
        <f>IFERROR(Tabla1[[#This Row],[Cantidad producida]]/Tabla1[[#This Row],[Cantidad teórica]],"")</f>
        <v>0</v>
      </c>
      <c r="L155" s="3"/>
      <c r="M155" s="23" t="str">
        <f>IF(Tabla1[[#This Row],[P/LC/CF/CL]]&lt;&gt;"P",Tabla1[[#This Row],[Hora fin ]]-Tabla1[[#This Row],[Hora inicio]],"")</f>
        <v/>
      </c>
      <c r="N155" t="str">
        <f>IF(Tabla1[[#This Row],[Cantidad producida]]&gt;Tabla1[[#This Row],[Cantidad teórica]],"SI","")</f>
        <v/>
      </c>
    </row>
    <row r="156" spans="1:14" x14ac:dyDescent="0.25">
      <c r="A156" s="2">
        <v>45805</v>
      </c>
      <c r="B156" s="3">
        <v>0.58333333333333337</v>
      </c>
      <c r="C156" s="3">
        <v>0.66666666666666663</v>
      </c>
      <c r="D156" s="19" t="str">
        <f>+IF(Tabla1[[#This Row],[Hora inicio]]&lt;$B$1,"Mañana","Tarde")</f>
        <v>Tarde</v>
      </c>
      <c r="E156" t="s">
        <v>137</v>
      </c>
      <c r="F156" s="19">
        <f>IF(Tabla1[[#This Row],[P/LC/CF/CL]]="P",Tabla1[[#This Row],[Hora fin ]]-Tabla1[[#This Row],[Hora inicio]],"")</f>
        <v>8.3333333333333259E-2</v>
      </c>
      <c r="G156" s="19">
        <f>Tabla1[[#This Row],[Hora fin ]]-Tabla1[[#This Row],[Hora inicio]]</f>
        <v>8.3333333333333259E-2</v>
      </c>
      <c r="H156" s="16">
        <f>WEEKNUM(Tabla1[[#This Row],[Día]])</f>
        <v>22</v>
      </c>
      <c r="J156" s="16">
        <f>IFERROR(((HOUR(Tabla1[[#This Row],[Tiempo producción]])*60+MINUTE(Tabla1[[#This Row],[Tiempo producción]]))/60)*$J$1,"")</f>
        <v>3600</v>
      </c>
      <c r="K156" s="21">
        <f>IFERROR(Tabla1[[#This Row],[Cantidad producida]]/Tabla1[[#This Row],[Cantidad teórica]],"")</f>
        <v>0</v>
      </c>
      <c r="L156" s="3"/>
      <c r="M156" s="23" t="str">
        <f>IF(Tabla1[[#This Row],[P/LC/CF/CL]]&lt;&gt;"P",Tabla1[[#This Row],[Hora fin ]]-Tabla1[[#This Row],[Hora inicio]],"")</f>
        <v/>
      </c>
      <c r="N156" t="str">
        <f>IF(Tabla1[[#This Row],[Cantidad producida]]&gt;Tabla1[[#This Row],[Cantidad teórica]],"SI","")</f>
        <v/>
      </c>
    </row>
    <row r="157" spans="1:14" x14ac:dyDescent="0.25">
      <c r="A157" s="2">
        <v>45805</v>
      </c>
      <c r="B157" s="3">
        <v>0.69444444444444442</v>
      </c>
      <c r="C157" s="3">
        <v>0.89583333333333337</v>
      </c>
      <c r="D157" s="19" t="str">
        <f>+IF(Tabla1[[#This Row],[Hora inicio]]&lt;$B$1,"Mañana","Tarde")</f>
        <v>Tarde</v>
      </c>
      <c r="E157" t="s">
        <v>137</v>
      </c>
      <c r="F157" s="19">
        <f>IF(Tabla1[[#This Row],[P/LC/CF/CL]]="P",Tabla1[[#This Row],[Hora fin ]]-Tabla1[[#This Row],[Hora inicio]],"")</f>
        <v>0.20138888888888895</v>
      </c>
      <c r="G157" s="19">
        <f>Tabla1[[#This Row],[Hora fin ]]-Tabla1[[#This Row],[Hora inicio]]</f>
        <v>0.20138888888888895</v>
      </c>
      <c r="H157" s="16">
        <f>WEEKNUM(Tabla1[[#This Row],[Día]])</f>
        <v>22</v>
      </c>
      <c r="J157" s="16">
        <f>IFERROR(((HOUR(Tabla1[[#This Row],[Tiempo producción]])*60+MINUTE(Tabla1[[#This Row],[Tiempo producción]]))/60)*$J$1,"")</f>
        <v>8700</v>
      </c>
      <c r="K157" s="21">
        <f>IFERROR(Tabla1[[#This Row],[Cantidad producida]]/Tabla1[[#This Row],[Cantidad teórica]],"")</f>
        <v>0</v>
      </c>
      <c r="L157" s="3"/>
      <c r="M157" s="23" t="str">
        <f>IF(Tabla1[[#This Row],[P/LC/CF/CL]]&lt;&gt;"P",Tabla1[[#This Row],[Hora fin ]]-Tabla1[[#This Row],[Hora inicio]],"")</f>
        <v/>
      </c>
      <c r="N157" t="str">
        <f>IF(Tabla1[[#This Row],[Cantidad producida]]&gt;Tabla1[[#This Row],[Cantidad teórica]],"SI","")</f>
        <v/>
      </c>
    </row>
    <row r="158" spans="1:14" x14ac:dyDescent="0.25">
      <c r="A158" s="2">
        <v>45806</v>
      </c>
      <c r="B158" s="3">
        <v>0.27083333333333331</v>
      </c>
      <c r="C158" s="3">
        <v>0.56597222222222221</v>
      </c>
      <c r="D158" s="19" t="str">
        <f>+IF(Tabla1[[#This Row],[Hora inicio]]&lt;$B$1,"Mañana","Tarde")</f>
        <v>Mañana</v>
      </c>
      <c r="E158" t="s">
        <v>137</v>
      </c>
      <c r="F158" s="19">
        <f>IF(Tabla1[[#This Row],[P/LC/CF/CL]]="P",Tabla1[[#This Row],[Hora fin ]]-Tabla1[[#This Row],[Hora inicio]],"")</f>
        <v>0.2951388888888889</v>
      </c>
      <c r="G158" s="19">
        <f>Tabla1[[#This Row],[Hora fin ]]-Tabla1[[#This Row],[Hora inicio]]</f>
        <v>0.2951388888888889</v>
      </c>
      <c r="H158" s="16">
        <f>WEEKNUM(Tabla1[[#This Row],[Día]])</f>
        <v>22</v>
      </c>
      <c r="J158" s="16">
        <f>IFERROR(((HOUR(Tabla1[[#This Row],[Tiempo producción]])*60+MINUTE(Tabla1[[#This Row],[Tiempo producción]]))/60)*$J$1,"")</f>
        <v>12750</v>
      </c>
      <c r="K158" s="21">
        <f>IFERROR(Tabla1[[#This Row],[Cantidad producida]]/Tabla1[[#This Row],[Cantidad teórica]],"")</f>
        <v>0</v>
      </c>
      <c r="L158" s="3"/>
      <c r="M158" s="23" t="str">
        <f>IF(Tabla1[[#This Row],[P/LC/CF/CL]]&lt;&gt;"P",Tabla1[[#This Row],[Hora fin ]]-Tabla1[[#This Row],[Hora inicio]],"")</f>
        <v/>
      </c>
      <c r="N158" t="str">
        <f>IF(Tabla1[[#This Row],[Cantidad producida]]&gt;Tabla1[[#This Row],[Cantidad teórica]],"SI","")</f>
        <v/>
      </c>
    </row>
    <row r="159" spans="1:14" x14ac:dyDescent="0.25">
      <c r="A159" s="2">
        <v>45806</v>
      </c>
      <c r="B159" s="3">
        <v>0.59722222222222221</v>
      </c>
      <c r="C159" s="3">
        <v>0.70833333333333337</v>
      </c>
      <c r="D159" s="19" t="str">
        <f>+IF(Tabla1[[#This Row],[Hora inicio]]&lt;$B$1,"Mañana","Tarde")</f>
        <v>Tarde</v>
      </c>
      <c r="E159" t="s">
        <v>137</v>
      </c>
      <c r="F159" s="19">
        <f>IF(Tabla1[[#This Row],[P/LC/CF/CL]]="P",Tabla1[[#This Row],[Hora fin ]]-Tabla1[[#This Row],[Hora inicio]],"")</f>
        <v>0.11111111111111116</v>
      </c>
      <c r="G159" s="19">
        <f>Tabla1[[#This Row],[Hora fin ]]-Tabla1[[#This Row],[Hora inicio]]</f>
        <v>0.11111111111111116</v>
      </c>
      <c r="H159" s="16">
        <f>WEEKNUM(Tabla1[[#This Row],[Día]])</f>
        <v>22</v>
      </c>
      <c r="J159" s="16">
        <f>IFERROR(((HOUR(Tabla1[[#This Row],[Tiempo producción]])*60+MINUTE(Tabla1[[#This Row],[Tiempo producción]]))/60)*$J$1,"")</f>
        <v>4800</v>
      </c>
      <c r="K159" s="21">
        <f>IFERROR(Tabla1[[#This Row],[Cantidad producida]]/Tabla1[[#This Row],[Cantidad teórica]],"")</f>
        <v>0</v>
      </c>
      <c r="L159" s="3"/>
      <c r="M159" s="23" t="str">
        <f>IF(Tabla1[[#This Row],[P/LC/CF/CL]]&lt;&gt;"P",Tabla1[[#This Row],[Hora fin ]]-Tabla1[[#This Row],[Hora inicio]],"")</f>
        <v/>
      </c>
      <c r="N159" t="str">
        <f>IF(Tabla1[[#This Row],[Cantidad producida]]&gt;Tabla1[[#This Row],[Cantidad teórica]],"SI","")</f>
        <v/>
      </c>
    </row>
    <row r="160" spans="1:14" x14ac:dyDescent="0.25">
      <c r="A160" s="2">
        <v>45806</v>
      </c>
      <c r="B160" s="3">
        <v>0.79166666666666663</v>
      </c>
      <c r="C160" s="3">
        <v>0.84375</v>
      </c>
      <c r="D160" s="19" t="str">
        <f>+IF(Tabla1[[#This Row],[Hora inicio]]&lt;$B$1,"Mañana","Tarde")</f>
        <v>Tarde</v>
      </c>
      <c r="E160" t="s">
        <v>137</v>
      </c>
      <c r="F160" s="19">
        <f>IF(Tabla1[[#This Row],[P/LC/CF/CL]]="P",Tabla1[[#This Row],[Hora fin ]]-Tabla1[[#This Row],[Hora inicio]],"")</f>
        <v>5.208333333333337E-2</v>
      </c>
      <c r="G160" s="19">
        <f>Tabla1[[#This Row],[Hora fin ]]-Tabla1[[#This Row],[Hora inicio]]</f>
        <v>5.208333333333337E-2</v>
      </c>
      <c r="H160" s="16">
        <f>WEEKNUM(Tabla1[[#This Row],[Día]])</f>
        <v>22</v>
      </c>
      <c r="J160" s="16">
        <f>IFERROR(((HOUR(Tabla1[[#This Row],[Tiempo producción]])*60+MINUTE(Tabla1[[#This Row],[Tiempo producción]]))/60)*$J$1,"")</f>
        <v>2250</v>
      </c>
      <c r="K160" s="21">
        <f>IFERROR(Tabla1[[#This Row],[Cantidad producida]]/Tabla1[[#This Row],[Cantidad teórica]],"")</f>
        <v>0</v>
      </c>
      <c r="L160" s="3"/>
      <c r="M160" s="23" t="str">
        <f>IF(Tabla1[[#This Row],[P/LC/CF/CL]]&lt;&gt;"P",Tabla1[[#This Row],[Hora fin ]]-Tabla1[[#This Row],[Hora inicio]],"")</f>
        <v/>
      </c>
      <c r="N160" t="str">
        <f>IF(Tabla1[[#This Row],[Cantidad producida]]&gt;Tabla1[[#This Row],[Cantidad teórica]],"SI","")</f>
        <v/>
      </c>
    </row>
    <row r="161" spans="1:14" x14ac:dyDescent="0.25">
      <c r="A161" s="2">
        <v>45807</v>
      </c>
      <c r="B161" s="3">
        <v>0.28472222222222221</v>
      </c>
      <c r="C161" s="3">
        <v>0.57291666666666663</v>
      </c>
      <c r="D161" s="19" t="str">
        <f>+IF(Tabla1[[#This Row],[Hora inicio]]&lt;$B$1,"Mañana","Tarde")</f>
        <v>Mañana</v>
      </c>
      <c r="E161" t="s">
        <v>137</v>
      </c>
      <c r="F161" s="19">
        <f>IF(Tabla1[[#This Row],[P/LC/CF/CL]]="P",Tabla1[[#This Row],[Hora fin ]]-Tabla1[[#This Row],[Hora inicio]],"")</f>
        <v>0.28819444444444442</v>
      </c>
      <c r="G161" s="19">
        <f>Tabla1[[#This Row],[Hora fin ]]-Tabla1[[#This Row],[Hora inicio]]</f>
        <v>0.28819444444444442</v>
      </c>
      <c r="H161" s="16">
        <f>WEEKNUM(Tabla1[[#This Row],[Día]])</f>
        <v>22</v>
      </c>
      <c r="J161" s="16">
        <f>IFERROR(((HOUR(Tabla1[[#This Row],[Tiempo producción]])*60+MINUTE(Tabla1[[#This Row],[Tiempo producción]]))/60)*$J$1,"")</f>
        <v>12450</v>
      </c>
      <c r="K161" s="21">
        <f>IFERROR(Tabla1[[#This Row],[Cantidad producida]]/Tabla1[[#This Row],[Cantidad teórica]],"")</f>
        <v>0</v>
      </c>
      <c r="L161" s="3"/>
      <c r="M161" s="23" t="str">
        <f>IF(Tabla1[[#This Row],[P/LC/CF/CL]]&lt;&gt;"P",Tabla1[[#This Row],[Hora fin ]]-Tabla1[[#This Row],[Hora inicio]],"")</f>
        <v/>
      </c>
      <c r="N161" t="str">
        <f>IF(Tabla1[[#This Row],[Cantidad producida]]&gt;Tabla1[[#This Row],[Cantidad teórica]],"SI","")</f>
        <v/>
      </c>
    </row>
    <row r="162" spans="1:14" x14ac:dyDescent="0.25">
      <c r="A162" s="2">
        <v>45812</v>
      </c>
      <c r="B162" s="3">
        <v>0.72222222222222221</v>
      </c>
      <c r="C162" s="3">
        <v>0.88541666666666663</v>
      </c>
      <c r="D162" s="19" t="str">
        <f>+IF(Tabla1[[#This Row],[Hora inicio]]&lt;$B$1,"Mañana","Tarde")</f>
        <v>Tarde</v>
      </c>
      <c r="E162" t="s">
        <v>134</v>
      </c>
      <c r="F162" s="19">
        <f>IF(Tabla1[[#This Row],[P/LC/CF/CL]]="P",Tabla1[[#This Row],[Hora fin ]]-Tabla1[[#This Row],[Hora inicio]],"")</f>
        <v>0.16319444444444442</v>
      </c>
      <c r="G162" s="19">
        <f>Tabla1[[#This Row],[Hora fin ]]-Tabla1[[#This Row],[Hora inicio]]</f>
        <v>0.16319444444444442</v>
      </c>
      <c r="H162" s="16">
        <f>WEEKNUM(Tabla1[[#This Row],[Día]])</f>
        <v>23</v>
      </c>
      <c r="J162" s="16">
        <f>IFERROR(((HOUR(Tabla1[[#This Row],[Tiempo producción]])*60+MINUTE(Tabla1[[#This Row],[Tiempo producción]]))/60)*$J$1,"")</f>
        <v>7050</v>
      </c>
      <c r="K162" s="21">
        <f>IFERROR(Tabla1[[#This Row],[Cantidad producida]]/Tabla1[[#This Row],[Cantidad teórica]],"")</f>
        <v>0</v>
      </c>
      <c r="L162" s="3"/>
      <c r="M162" s="23" t="str">
        <f>IF(Tabla1[[#This Row],[P/LC/CF/CL]]&lt;&gt;"P",Tabla1[[#This Row],[Hora fin ]]-Tabla1[[#This Row],[Hora inicio]],"")</f>
        <v/>
      </c>
      <c r="N162" t="str">
        <f>IF(Tabla1[[#This Row],[Cantidad producida]]&gt;Tabla1[[#This Row],[Cantidad teórica]],"SI","")</f>
        <v/>
      </c>
    </row>
    <row r="163" spans="1:14" x14ac:dyDescent="0.25">
      <c r="A163" s="2">
        <v>45813</v>
      </c>
      <c r="B163" s="3">
        <v>0.32291666666666669</v>
      </c>
      <c r="C163" s="3">
        <v>0.41319444444444442</v>
      </c>
      <c r="D163" s="19" t="str">
        <f>+IF(Tabla1[[#This Row],[Hora inicio]]&lt;$B$1,"Mañana","Tarde")</f>
        <v>Mañana</v>
      </c>
      <c r="E163" t="s">
        <v>134</v>
      </c>
      <c r="F163" s="19">
        <f>IF(Tabla1[[#This Row],[P/LC/CF/CL]]="P",Tabla1[[#This Row],[Hora fin ]]-Tabla1[[#This Row],[Hora inicio]],"")</f>
        <v>9.0277777777777735E-2</v>
      </c>
      <c r="G163" s="19">
        <f>Tabla1[[#This Row],[Hora fin ]]-Tabla1[[#This Row],[Hora inicio]]</f>
        <v>9.0277777777777735E-2</v>
      </c>
      <c r="H163" s="16">
        <f>WEEKNUM(Tabla1[[#This Row],[Día]])</f>
        <v>23</v>
      </c>
      <c r="J163" s="16">
        <f>IFERROR(((HOUR(Tabla1[[#This Row],[Tiempo producción]])*60+MINUTE(Tabla1[[#This Row],[Tiempo producción]]))/60)*$J$1,"")</f>
        <v>3899.9999999999995</v>
      </c>
      <c r="K163" s="21">
        <f>IFERROR(Tabla1[[#This Row],[Cantidad producida]]/Tabla1[[#This Row],[Cantidad teórica]],"")</f>
        <v>0</v>
      </c>
      <c r="L163" s="3"/>
      <c r="M163" s="23" t="str">
        <f>IF(Tabla1[[#This Row],[P/LC/CF/CL]]&lt;&gt;"P",Tabla1[[#This Row],[Hora fin ]]-Tabla1[[#This Row],[Hora inicio]],"")</f>
        <v/>
      </c>
      <c r="N163" t="str">
        <f>IF(Tabla1[[#This Row],[Cantidad producida]]&gt;Tabla1[[#This Row],[Cantidad teórica]],"SI","")</f>
        <v/>
      </c>
    </row>
    <row r="164" spans="1:14" x14ac:dyDescent="0.25">
      <c r="A164" s="2">
        <v>45813</v>
      </c>
      <c r="B164" s="3">
        <v>0.42708333333333331</v>
      </c>
      <c r="C164" s="3">
        <v>0.4375</v>
      </c>
      <c r="D164" s="19" t="str">
        <f>+IF(Tabla1[[#This Row],[Hora inicio]]&lt;$B$1,"Mañana","Tarde")</f>
        <v>Mañana</v>
      </c>
      <c r="E164" t="s">
        <v>124</v>
      </c>
      <c r="F164" s="19" t="str">
        <f>IF(Tabla1[[#This Row],[P/LC/CF/CL]]="P",Tabla1[[#This Row],[Hora fin ]]-Tabla1[[#This Row],[Hora inicio]],"")</f>
        <v/>
      </c>
      <c r="G164" s="19">
        <f>Tabla1[[#This Row],[Hora fin ]]-Tabla1[[#This Row],[Hora inicio]]</f>
        <v>1.0416666666666685E-2</v>
      </c>
      <c r="H164" s="16">
        <f>WEEKNUM(Tabla1[[#This Row],[Día]])</f>
        <v>23</v>
      </c>
      <c r="J164" s="16" t="str">
        <f>IFERROR(((HOUR(Tabla1[[#This Row],[Tiempo producción]])*60+MINUTE(Tabla1[[#This Row],[Tiempo producción]]))/60)*$J$1,"")</f>
        <v/>
      </c>
      <c r="K164" s="21" t="str">
        <f>IFERROR(Tabla1[[#This Row],[Cantidad producida]]/Tabla1[[#This Row],[Cantidad teórica]],"")</f>
        <v/>
      </c>
      <c r="L164" s="3"/>
      <c r="M164" s="23">
        <f>IF(Tabla1[[#This Row],[P/LC/CF/CL]]&lt;&gt;"P",Tabla1[[#This Row],[Hora fin ]]-Tabla1[[#This Row],[Hora inicio]],"")</f>
        <v>1.0416666666666685E-2</v>
      </c>
      <c r="N164" t="str">
        <f>IF(Tabla1[[#This Row],[Cantidad producida]]&gt;Tabla1[[#This Row],[Cantidad teórica]],"SI","")</f>
        <v/>
      </c>
    </row>
    <row r="165" spans="1:14" x14ac:dyDescent="0.25">
      <c r="A165" s="2">
        <v>45813</v>
      </c>
      <c r="B165" s="3">
        <v>0.47222222222222221</v>
      </c>
      <c r="C165" s="3">
        <v>0.58333333333333337</v>
      </c>
      <c r="D165" s="19" t="str">
        <f>+IF(Tabla1[[#This Row],[Hora inicio]]&lt;$B$1,"Mañana","Tarde")</f>
        <v>Mañana</v>
      </c>
      <c r="E165" t="s">
        <v>134</v>
      </c>
      <c r="F165" s="19">
        <f>IF(Tabla1[[#This Row],[P/LC/CF/CL]]="P",Tabla1[[#This Row],[Hora fin ]]-Tabla1[[#This Row],[Hora inicio]],"")</f>
        <v>0.11111111111111116</v>
      </c>
      <c r="G165" s="19">
        <f>Tabla1[[#This Row],[Hora fin ]]-Tabla1[[#This Row],[Hora inicio]]</f>
        <v>0.11111111111111116</v>
      </c>
      <c r="H165" s="16">
        <f>WEEKNUM(Tabla1[[#This Row],[Día]])</f>
        <v>23</v>
      </c>
      <c r="J165" s="16">
        <f>IFERROR(((HOUR(Tabla1[[#This Row],[Tiempo producción]])*60+MINUTE(Tabla1[[#This Row],[Tiempo producción]]))/60)*$J$1,"")</f>
        <v>4800</v>
      </c>
      <c r="K165" s="21">
        <f>IFERROR(Tabla1[[#This Row],[Cantidad producida]]/Tabla1[[#This Row],[Cantidad teórica]],"")</f>
        <v>0</v>
      </c>
      <c r="L165" s="3"/>
      <c r="M165" s="23" t="str">
        <f>IF(Tabla1[[#This Row],[P/LC/CF/CL]]&lt;&gt;"P",Tabla1[[#This Row],[Hora fin ]]-Tabla1[[#This Row],[Hora inicio]],"")</f>
        <v/>
      </c>
      <c r="N165" t="str">
        <f>IF(Tabla1[[#This Row],[Cantidad producida]]&gt;Tabla1[[#This Row],[Cantidad teórica]],"SI","")</f>
        <v/>
      </c>
    </row>
    <row r="166" spans="1:14" x14ac:dyDescent="0.25">
      <c r="A166" s="2">
        <v>45813</v>
      </c>
      <c r="B166" s="3">
        <v>0.59375</v>
      </c>
      <c r="C166" s="3">
        <v>0.71180555555555558</v>
      </c>
      <c r="D166" s="19" t="s">
        <v>138</v>
      </c>
      <c r="E166" t="s">
        <v>134</v>
      </c>
      <c r="F166" s="19">
        <f>IF(Tabla1[[#This Row],[P/LC/CF/CL]]="P",Tabla1[[#This Row],[Hora fin ]]-Tabla1[[#This Row],[Hora inicio]],"")</f>
        <v>0.11805555555555558</v>
      </c>
      <c r="G166" s="19">
        <f>Tabla1[[#This Row],[Hora fin ]]-Tabla1[[#This Row],[Hora inicio]]</f>
        <v>0.11805555555555558</v>
      </c>
      <c r="H166" s="16">
        <f>WEEKNUM(Tabla1[[#This Row],[Día]])</f>
        <v>23</v>
      </c>
      <c r="J166" s="16">
        <f>IFERROR(((HOUR(Tabla1[[#This Row],[Tiempo producción]])*60+MINUTE(Tabla1[[#This Row],[Tiempo producción]]))/60)*$J$1,"")</f>
        <v>5100</v>
      </c>
      <c r="K166" s="21">
        <f>IFERROR(Tabla1[[#This Row],[Cantidad producida]]/Tabla1[[#This Row],[Cantidad teórica]],"")</f>
        <v>0</v>
      </c>
      <c r="L166" s="3"/>
      <c r="M166" s="23" t="str">
        <f>IF(Tabla1[[#This Row],[P/LC/CF/CL]]&lt;&gt;"P",Tabla1[[#This Row],[Hora fin ]]-Tabla1[[#This Row],[Hora inicio]],"")</f>
        <v/>
      </c>
      <c r="N166" t="str">
        <f>IF(Tabla1[[#This Row],[Cantidad producida]]&gt;Tabla1[[#This Row],[Cantidad teórica]],"SI","")</f>
        <v/>
      </c>
    </row>
    <row r="167" spans="1:14" x14ac:dyDescent="0.25">
      <c r="A167" s="2">
        <v>45813</v>
      </c>
      <c r="B167" s="3">
        <v>0.63888888888888884</v>
      </c>
      <c r="C167" s="3">
        <v>0.80555555555555558</v>
      </c>
      <c r="D167" s="19" t="s">
        <v>138</v>
      </c>
      <c r="E167" t="s">
        <v>134</v>
      </c>
      <c r="F167" s="19">
        <f>IF(Tabla1[[#This Row],[P/LC/CF/CL]]="P",Tabla1[[#This Row],[Hora fin ]]-Tabla1[[#This Row],[Hora inicio]],"")</f>
        <v>0.16666666666666674</v>
      </c>
      <c r="G167" s="19">
        <f>Tabla1[[#This Row],[Hora fin ]]-Tabla1[[#This Row],[Hora inicio]]</f>
        <v>0.16666666666666674</v>
      </c>
      <c r="H167" s="16">
        <f>WEEKNUM(Tabla1[[#This Row],[Día]])</f>
        <v>23</v>
      </c>
      <c r="J167" s="16">
        <f>IFERROR(((HOUR(Tabla1[[#This Row],[Tiempo producción]])*60+MINUTE(Tabla1[[#This Row],[Tiempo producción]]))/60)*$J$1,"")</f>
        <v>7200</v>
      </c>
      <c r="K167" s="21">
        <f>IFERROR(Tabla1[[#This Row],[Cantidad producida]]/Tabla1[[#This Row],[Cantidad teórica]],"")</f>
        <v>0</v>
      </c>
      <c r="L167" s="3"/>
      <c r="M167" s="23" t="str">
        <f>IF(Tabla1[[#This Row],[P/LC/CF/CL]]&lt;&gt;"P",Tabla1[[#This Row],[Hora fin ]]-Tabla1[[#This Row],[Hora inicio]],"")</f>
        <v/>
      </c>
      <c r="N167" t="str">
        <f>IF(Tabla1[[#This Row],[Cantidad producida]]&gt;Tabla1[[#This Row],[Cantidad teórica]],"SI","")</f>
        <v/>
      </c>
    </row>
    <row r="168" spans="1:14" x14ac:dyDescent="0.25">
      <c r="A168" s="2">
        <v>45814</v>
      </c>
      <c r="B168" s="3">
        <v>0.33333333333333331</v>
      </c>
      <c r="C168" s="3">
        <v>0.5</v>
      </c>
      <c r="D168" s="19" t="str">
        <f>+IF(Tabla1[[#This Row],[Hora inicio]]&lt;$B$1,"Mañana","Tarde")</f>
        <v>Mañana</v>
      </c>
      <c r="E168" t="s">
        <v>134</v>
      </c>
      <c r="F168" s="19">
        <f>IF(Tabla1[[#This Row],[P/LC/CF/CL]]="P",Tabla1[[#This Row],[Hora fin ]]-Tabla1[[#This Row],[Hora inicio]],"")</f>
        <v>0.16666666666666669</v>
      </c>
      <c r="G168" s="19">
        <f>Tabla1[[#This Row],[Hora fin ]]-Tabla1[[#This Row],[Hora inicio]]</f>
        <v>0.16666666666666669</v>
      </c>
      <c r="H168" s="16">
        <f>WEEKNUM(Tabla1[[#This Row],[Día]])</f>
        <v>23</v>
      </c>
      <c r="J168" s="16">
        <f>IFERROR(((HOUR(Tabla1[[#This Row],[Tiempo producción]])*60+MINUTE(Tabla1[[#This Row],[Tiempo producción]]))/60)*$J$1,"")</f>
        <v>7200</v>
      </c>
      <c r="K168" s="21">
        <f>IFERROR(Tabla1[[#This Row],[Cantidad producida]]/Tabla1[[#This Row],[Cantidad teórica]],"")</f>
        <v>0</v>
      </c>
      <c r="L168" s="3"/>
      <c r="M168" s="23" t="str">
        <f>IF(Tabla1[[#This Row],[P/LC/CF/CL]]&lt;&gt;"P",Tabla1[[#This Row],[Hora fin ]]-Tabla1[[#This Row],[Hora inicio]],"")</f>
        <v/>
      </c>
      <c r="N168" t="str">
        <f>IF(Tabla1[[#This Row],[Cantidad producida]]&gt;Tabla1[[#This Row],[Cantidad teórica]],"SI","")</f>
        <v/>
      </c>
    </row>
    <row r="169" spans="1:14" x14ac:dyDescent="0.25">
      <c r="A169" s="2">
        <v>45814</v>
      </c>
      <c r="B169" s="3">
        <v>0.55555555555555558</v>
      </c>
      <c r="C169" s="3">
        <v>0.56597222222222221</v>
      </c>
      <c r="D169" s="19" t="str">
        <f>+IF(Tabla1[[#This Row],[Hora inicio]]&lt;$B$1,"Mañana","Tarde")</f>
        <v>Mañana</v>
      </c>
      <c r="E169" t="s">
        <v>124</v>
      </c>
      <c r="F169" s="19" t="str">
        <f>IF(Tabla1[[#This Row],[P/LC/CF/CL]]="P",Tabla1[[#This Row],[Hora fin ]]-Tabla1[[#This Row],[Hora inicio]],"")</f>
        <v/>
      </c>
      <c r="G169" s="19">
        <f>Tabla1[[#This Row],[Hora fin ]]-Tabla1[[#This Row],[Hora inicio]]</f>
        <v>1.041666666666663E-2</v>
      </c>
      <c r="H169" s="16">
        <f>WEEKNUM(Tabla1[[#This Row],[Día]])</f>
        <v>23</v>
      </c>
      <c r="J169" s="16" t="str">
        <f>IFERROR(((HOUR(Tabla1[[#This Row],[Tiempo producción]])*60+MINUTE(Tabla1[[#This Row],[Tiempo producción]]))/60)*$J$1,"")</f>
        <v/>
      </c>
      <c r="K169" s="21" t="str">
        <f>IFERROR(Tabla1[[#This Row],[Cantidad producida]]/Tabla1[[#This Row],[Cantidad teórica]],"")</f>
        <v/>
      </c>
      <c r="L169" s="3"/>
      <c r="M169" s="23">
        <f>IF(Tabla1[[#This Row],[P/LC/CF/CL]]&lt;&gt;"P",Tabla1[[#This Row],[Hora fin ]]-Tabla1[[#This Row],[Hora inicio]],"")</f>
        <v>1.041666666666663E-2</v>
      </c>
      <c r="N169" t="str">
        <f>IF(Tabla1[[#This Row],[Cantidad producida]]&gt;Tabla1[[#This Row],[Cantidad teórica]],"SI","")</f>
        <v/>
      </c>
    </row>
    <row r="170" spans="1:14" x14ac:dyDescent="0.25">
      <c r="A170" s="2">
        <v>45814</v>
      </c>
      <c r="B170" s="3">
        <v>0.56597222222222221</v>
      </c>
      <c r="C170" s="3">
        <v>0.58333333333333337</v>
      </c>
      <c r="D170" s="19" t="str">
        <f>+IF(Tabla1[[#This Row],[Hora inicio]]&lt;$B$1,"Mañana","Tarde")</f>
        <v>Mañana</v>
      </c>
      <c r="E170" t="s">
        <v>134</v>
      </c>
      <c r="F170" s="19">
        <f>IF(Tabla1[[#This Row],[P/LC/CF/CL]]="P",Tabla1[[#This Row],[Hora fin ]]-Tabla1[[#This Row],[Hora inicio]],"")</f>
        <v>1.736111111111116E-2</v>
      </c>
      <c r="G170" s="19">
        <f>Tabla1[[#This Row],[Hora fin ]]-Tabla1[[#This Row],[Hora inicio]]</f>
        <v>1.736111111111116E-2</v>
      </c>
      <c r="H170" s="16">
        <f>WEEKNUM(Tabla1[[#This Row],[Día]])</f>
        <v>23</v>
      </c>
      <c r="J170" s="16">
        <f>IFERROR(((HOUR(Tabla1[[#This Row],[Tiempo producción]])*60+MINUTE(Tabla1[[#This Row],[Tiempo producción]]))/60)*$J$1,"")</f>
        <v>750</v>
      </c>
      <c r="K170" s="21">
        <f>IFERROR(Tabla1[[#This Row],[Cantidad producida]]/Tabla1[[#This Row],[Cantidad teórica]],"")</f>
        <v>0</v>
      </c>
      <c r="L170" s="3"/>
      <c r="M170" s="23" t="str">
        <f>IF(Tabla1[[#This Row],[P/LC/CF/CL]]&lt;&gt;"P",Tabla1[[#This Row],[Hora fin ]]-Tabla1[[#This Row],[Hora inicio]],"")</f>
        <v/>
      </c>
      <c r="N170" t="str">
        <f>IF(Tabla1[[#This Row],[Cantidad producida]]&gt;Tabla1[[#This Row],[Cantidad teórica]],"SI","")</f>
        <v/>
      </c>
    </row>
    <row r="171" spans="1:14" x14ac:dyDescent="0.25">
      <c r="A171" s="2">
        <v>45814</v>
      </c>
      <c r="B171" s="3">
        <v>0.59375</v>
      </c>
      <c r="C171" s="3">
        <v>0.70833333333333337</v>
      </c>
      <c r="D171" s="19" t="s">
        <v>138</v>
      </c>
      <c r="E171" t="s">
        <v>134</v>
      </c>
      <c r="F171" s="19">
        <f>IF(Tabla1[[#This Row],[P/LC/CF/CL]]="P",Tabla1[[#This Row],[Hora fin ]]-Tabla1[[#This Row],[Hora inicio]],"")</f>
        <v>0.11458333333333337</v>
      </c>
      <c r="G171" s="19">
        <f>Tabla1[[#This Row],[Hora fin ]]-Tabla1[[#This Row],[Hora inicio]]</f>
        <v>0.11458333333333337</v>
      </c>
      <c r="H171" s="16">
        <f>WEEKNUM(Tabla1[[#This Row],[Día]])</f>
        <v>23</v>
      </c>
      <c r="J171" s="16">
        <f>IFERROR(((HOUR(Tabla1[[#This Row],[Tiempo producción]])*60+MINUTE(Tabla1[[#This Row],[Tiempo producción]]))/60)*$J$1,"")</f>
        <v>4950</v>
      </c>
      <c r="K171" s="21">
        <f>IFERROR(Tabla1[[#This Row],[Cantidad producida]]/Tabla1[[#This Row],[Cantidad teórica]],"")</f>
        <v>0</v>
      </c>
      <c r="L171" s="3"/>
      <c r="M171" s="23" t="str">
        <f>IF(Tabla1[[#This Row],[P/LC/CF/CL]]&lt;&gt;"P",Tabla1[[#This Row],[Hora fin ]]-Tabla1[[#This Row],[Hora inicio]],"")</f>
        <v/>
      </c>
      <c r="N171" t="str">
        <f>IF(Tabla1[[#This Row],[Cantidad producida]]&gt;Tabla1[[#This Row],[Cantidad teórica]],"SI","")</f>
        <v/>
      </c>
    </row>
    <row r="172" spans="1:14" x14ac:dyDescent="0.25">
      <c r="A172" s="2">
        <v>45814</v>
      </c>
      <c r="B172" s="3">
        <v>0.82499999999999996</v>
      </c>
      <c r="C172" s="3">
        <v>0.83333333333333337</v>
      </c>
      <c r="D172" s="19" t="s">
        <v>138</v>
      </c>
      <c r="E172" t="s">
        <v>124</v>
      </c>
      <c r="F172" s="19" t="str">
        <f>IF(Tabla1[[#This Row],[P/LC/CF/CL]]="P",Tabla1[[#This Row],[Hora fin ]]-Tabla1[[#This Row],[Hora inicio]],"")</f>
        <v/>
      </c>
      <c r="G172" s="19">
        <f>Tabla1[[#This Row],[Hora fin ]]-Tabla1[[#This Row],[Hora inicio]]</f>
        <v>8.3333333333334147E-3</v>
      </c>
      <c r="H172" s="16">
        <f>WEEKNUM(Tabla1[[#This Row],[Día]])</f>
        <v>23</v>
      </c>
      <c r="J172" s="16" t="str">
        <f>IFERROR(((HOUR(Tabla1[[#This Row],[Tiempo producción]])*60+MINUTE(Tabla1[[#This Row],[Tiempo producción]]))/60)*$J$1,"")</f>
        <v/>
      </c>
      <c r="K172" s="21" t="str">
        <f>IFERROR(Tabla1[[#This Row],[Cantidad producida]]/Tabla1[[#This Row],[Cantidad teórica]],"")</f>
        <v/>
      </c>
      <c r="L172" s="3"/>
      <c r="M172" s="23">
        <f>IF(Tabla1[[#This Row],[P/LC/CF/CL]]&lt;&gt;"P",Tabla1[[#This Row],[Hora fin ]]-Tabla1[[#This Row],[Hora inicio]],"")</f>
        <v>8.3333333333334147E-3</v>
      </c>
      <c r="N172" t="str">
        <f>IF(Tabla1[[#This Row],[Cantidad producida]]&gt;Tabla1[[#This Row],[Cantidad teórica]],"SI","")</f>
        <v/>
      </c>
    </row>
    <row r="173" spans="1:14" x14ac:dyDescent="0.25">
      <c r="A173" s="2">
        <v>45814</v>
      </c>
      <c r="B173" s="3">
        <v>0.83333333333333337</v>
      </c>
      <c r="C173" s="3">
        <v>0.88194444444444442</v>
      </c>
      <c r="D173" s="19" t="s">
        <v>138</v>
      </c>
      <c r="E173" t="s">
        <v>134</v>
      </c>
      <c r="F173" s="19">
        <f>IF(Tabla1[[#This Row],[P/LC/CF/CL]]="P",Tabla1[[#This Row],[Hora fin ]]-Tabla1[[#This Row],[Hora inicio]],"")</f>
        <v>4.8611111111111049E-2</v>
      </c>
      <c r="G173" s="19">
        <f>Tabla1[[#This Row],[Hora fin ]]-Tabla1[[#This Row],[Hora inicio]]</f>
        <v>4.8611111111111049E-2</v>
      </c>
      <c r="H173" s="16">
        <f>WEEKNUM(Tabla1[[#This Row],[Día]])</f>
        <v>23</v>
      </c>
      <c r="J173" s="16">
        <f>IFERROR(((HOUR(Tabla1[[#This Row],[Tiempo producción]])*60+MINUTE(Tabla1[[#This Row],[Tiempo producción]]))/60)*$J$1,"")</f>
        <v>2100</v>
      </c>
      <c r="K173" s="21">
        <f>IFERROR(Tabla1[[#This Row],[Cantidad producida]]/Tabla1[[#This Row],[Cantidad teórica]],"")</f>
        <v>0</v>
      </c>
      <c r="L173" s="3"/>
      <c r="M173" s="23" t="str">
        <f>IF(Tabla1[[#This Row],[P/LC/CF/CL]]&lt;&gt;"P",Tabla1[[#This Row],[Hora fin ]]-Tabla1[[#This Row],[Hora inicio]],"")</f>
        <v/>
      </c>
      <c r="N173" t="str">
        <f>IF(Tabla1[[#This Row],[Cantidad producida]]&gt;Tabla1[[#This Row],[Cantidad teórica]],"SI","")</f>
        <v/>
      </c>
    </row>
    <row r="174" spans="1:14" x14ac:dyDescent="0.25">
      <c r="A174" s="2">
        <v>45817</v>
      </c>
      <c r="B174" s="3">
        <v>0.27083333333333331</v>
      </c>
      <c r="C174" s="3">
        <v>0.82638888888888884</v>
      </c>
      <c r="D174" s="19" t="str">
        <f>+IF(Tabla1[[#This Row],[Hora inicio]]&lt;$B$1,"Mañana","Tarde")</f>
        <v>Mañana</v>
      </c>
      <c r="E174" t="s">
        <v>122</v>
      </c>
      <c r="F174" s="19" t="str">
        <f>IF(Tabla1[[#This Row],[P/LC/CF/CL]]="P",Tabla1[[#This Row],[Hora fin ]]-Tabla1[[#This Row],[Hora inicio]],"")</f>
        <v/>
      </c>
      <c r="G174" s="19">
        <f>Tabla1[[#This Row],[Hora fin ]]-Tabla1[[#This Row],[Hora inicio]]</f>
        <v>0.55555555555555558</v>
      </c>
      <c r="H174" s="16">
        <f>WEEKNUM(Tabla1[[#This Row],[Día]])</f>
        <v>24</v>
      </c>
      <c r="J174" s="16" t="str">
        <f>IFERROR(((HOUR(Tabla1[[#This Row],[Tiempo producción]])*60+MINUTE(Tabla1[[#This Row],[Tiempo producción]]))/60)*$J$1,"")</f>
        <v/>
      </c>
      <c r="K174" s="21" t="str">
        <f>IFERROR(Tabla1[[#This Row],[Cantidad producida]]/Tabla1[[#This Row],[Cantidad teórica]],"")</f>
        <v/>
      </c>
      <c r="L174" s="3"/>
      <c r="M174" s="23">
        <f>IF(Tabla1[[#This Row],[P/LC/CF/CL]]&lt;&gt;"P",Tabla1[[#This Row],[Hora fin ]]-Tabla1[[#This Row],[Hora inicio]],"")</f>
        <v>0.55555555555555558</v>
      </c>
      <c r="N174" t="str">
        <f>IF(Tabla1[[#This Row],[Cantidad producida]]&gt;Tabla1[[#This Row],[Cantidad teórica]],"SI","")</f>
        <v/>
      </c>
    </row>
    <row r="175" spans="1:14" x14ac:dyDescent="0.25">
      <c r="A175" s="2">
        <v>45817</v>
      </c>
      <c r="B175" s="3">
        <v>0.85763888888888884</v>
      </c>
      <c r="C175" s="3">
        <v>0.91666666666666663</v>
      </c>
      <c r="D175" s="19" t="str">
        <f>+IF(Tabla1[[#This Row],[Hora inicio]]&lt;$B$1,"Mañana","Tarde")</f>
        <v>Tarde</v>
      </c>
      <c r="E175" t="s">
        <v>123</v>
      </c>
      <c r="F175" s="19" t="str">
        <f>IF(Tabla1[[#This Row],[P/LC/CF/CL]]="P",Tabla1[[#This Row],[Hora fin ]]-Tabla1[[#This Row],[Hora inicio]],"")</f>
        <v/>
      </c>
      <c r="G175" s="19">
        <f>Tabla1[[#This Row],[Hora fin ]]-Tabla1[[#This Row],[Hora inicio]]</f>
        <v>5.902777777777779E-2</v>
      </c>
      <c r="H175" s="16">
        <f>WEEKNUM(Tabla1[[#This Row],[Día]])</f>
        <v>24</v>
      </c>
      <c r="J175" s="16" t="str">
        <f>IFERROR(((HOUR(Tabla1[[#This Row],[Tiempo producción]])*60+MINUTE(Tabla1[[#This Row],[Tiempo producción]]))/60)*$J$1,"")</f>
        <v/>
      </c>
      <c r="K175" s="21" t="str">
        <f>IFERROR(Tabla1[[#This Row],[Cantidad producida]]/Tabla1[[#This Row],[Cantidad teórica]],"")</f>
        <v/>
      </c>
      <c r="L175" s="3"/>
      <c r="M175" s="23">
        <f>IF(Tabla1[[#This Row],[P/LC/CF/CL]]&lt;&gt;"P",Tabla1[[#This Row],[Hora fin ]]-Tabla1[[#This Row],[Hora inicio]],"")</f>
        <v>5.902777777777779E-2</v>
      </c>
      <c r="N175" t="str">
        <f>IF(Tabla1[[#This Row],[Cantidad producida]]&gt;Tabla1[[#This Row],[Cantidad teórica]],"SI","")</f>
        <v/>
      </c>
    </row>
    <row r="176" spans="1:14" x14ac:dyDescent="0.25">
      <c r="A176" s="2">
        <v>45817</v>
      </c>
      <c r="B176" s="3">
        <v>0.25</v>
      </c>
      <c r="C176" s="3">
        <v>0.42708333333333331</v>
      </c>
      <c r="D176" s="19" t="str">
        <f>+IF(Tabla1[[#This Row],[Hora inicio]]&lt;$B$1,"Mañana","Tarde")</f>
        <v>Mañana</v>
      </c>
      <c r="E176" t="s">
        <v>123</v>
      </c>
      <c r="F176" s="19" t="str">
        <f>IF(Tabla1[[#This Row],[P/LC/CF/CL]]="P",Tabla1[[#This Row],[Hora fin ]]-Tabla1[[#This Row],[Hora inicio]],"")</f>
        <v/>
      </c>
      <c r="G176" s="19">
        <f>Tabla1[[#This Row],[Hora fin ]]-Tabla1[[#This Row],[Hora inicio]]</f>
        <v>0.17708333333333331</v>
      </c>
      <c r="H176" s="16">
        <f>WEEKNUM(Tabla1[[#This Row],[Día]])</f>
        <v>24</v>
      </c>
      <c r="J176" s="16" t="str">
        <f>IFERROR(((HOUR(Tabla1[[#This Row],[Tiempo producción]])*60+MINUTE(Tabla1[[#This Row],[Tiempo producción]]))/60)*$J$1,"")</f>
        <v/>
      </c>
      <c r="K176" s="21" t="str">
        <f>IFERROR(Tabla1[[#This Row],[Cantidad producida]]/Tabla1[[#This Row],[Cantidad teórica]],"")</f>
        <v/>
      </c>
      <c r="L176" s="3"/>
      <c r="M176" s="23">
        <f>IF(Tabla1[[#This Row],[P/LC/CF/CL]]&lt;&gt;"P",Tabla1[[#This Row],[Hora fin ]]-Tabla1[[#This Row],[Hora inicio]],"")</f>
        <v>0.17708333333333331</v>
      </c>
      <c r="N176" t="str">
        <f>IF(Tabla1[[#This Row],[Cantidad producida]]&gt;Tabla1[[#This Row],[Cantidad teórica]],"SI","")</f>
        <v/>
      </c>
    </row>
    <row r="177" spans="1:14" x14ac:dyDescent="0.25">
      <c r="A177" s="2">
        <v>45818</v>
      </c>
      <c r="B177" s="3">
        <v>0.4513888888888889</v>
      </c>
      <c r="C177" s="3">
        <v>0.58333333333333337</v>
      </c>
      <c r="D177" s="19" t="str">
        <f>+IF(Tabla1[[#This Row],[Hora inicio]]&lt;$B$1,"Mañana","Tarde")</f>
        <v>Mañana</v>
      </c>
      <c r="E177" t="s">
        <v>134</v>
      </c>
      <c r="F177" s="19">
        <f>IF(Tabla1[[#This Row],[P/LC/CF/CL]]="P",Tabla1[[#This Row],[Hora fin ]]-Tabla1[[#This Row],[Hora inicio]],"")</f>
        <v>0.13194444444444448</v>
      </c>
      <c r="G177" s="19">
        <f>Tabla1[[#This Row],[Hora fin ]]-Tabla1[[#This Row],[Hora inicio]]</f>
        <v>0.13194444444444448</v>
      </c>
      <c r="H177" s="16">
        <f>WEEKNUM(Tabla1[[#This Row],[Día]])</f>
        <v>24</v>
      </c>
      <c r="J177" s="16">
        <f>IFERROR(((HOUR(Tabla1[[#This Row],[Tiempo producción]])*60+MINUTE(Tabla1[[#This Row],[Tiempo producción]]))/60)*$J$1,"")</f>
        <v>5700</v>
      </c>
      <c r="K177" s="21">
        <f>IFERROR(Tabla1[[#This Row],[Cantidad producida]]/Tabla1[[#This Row],[Cantidad teórica]],"")</f>
        <v>0</v>
      </c>
      <c r="L177" s="3"/>
      <c r="M177" s="23" t="str">
        <f>IF(Tabla1[[#This Row],[P/LC/CF/CL]]&lt;&gt;"P",Tabla1[[#This Row],[Hora fin ]]-Tabla1[[#This Row],[Hora inicio]],"")</f>
        <v/>
      </c>
      <c r="N177" t="str">
        <f>IF(Tabla1[[#This Row],[Cantidad producida]]&gt;Tabla1[[#This Row],[Cantidad teórica]],"SI","")</f>
        <v/>
      </c>
    </row>
    <row r="178" spans="1:14" x14ac:dyDescent="0.25">
      <c r="A178" s="2">
        <v>45818</v>
      </c>
      <c r="B178" s="3">
        <v>0.59722222222222221</v>
      </c>
      <c r="C178" s="3">
        <v>0.71527777777777779</v>
      </c>
      <c r="D178" s="19" t="str">
        <f>+IF(Tabla1[[#This Row],[Hora inicio]]&lt;$B$1,"Mañana","Tarde")</f>
        <v>Tarde</v>
      </c>
      <c r="E178" t="s">
        <v>134</v>
      </c>
      <c r="F178" s="19">
        <f>IF(Tabla1[[#This Row],[P/LC/CF/CL]]="P",Tabla1[[#This Row],[Hora fin ]]-Tabla1[[#This Row],[Hora inicio]],"")</f>
        <v>0.11805555555555558</v>
      </c>
      <c r="G178" s="19">
        <f>Tabla1[[#This Row],[Hora fin ]]-Tabla1[[#This Row],[Hora inicio]]</f>
        <v>0.11805555555555558</v>
      </c>
      <c r="H178" s="16">
        <f>WEEKNUM(Tabla1[[#This Row],[Día]])</f>
        <v>24</v>
      </c>
      <c r="J178" s="16">
        <f>IFERROR(((HOUR(Tabla1[[#This Row],[Tiempo producción]])*60+MINUTE(Tabla1[[#This Row],[Tiempo producción]]))/60)*$J$1,"")</f>
        <v>5100</v>
      </c>
      <c r="K178" s="21">
        <f>IFERROR(Tabla1[[#This Row],[Cantidad producida]]/Tabla1[[#This Row],[Cantidad teórica]],"")</f>
        <v>0</v>
      </c>
      <c r="L178" s="3"/>
      <c r="M178" s="23" t="str">
        <f>IF(Tabla1[[#This Row],[P/LC/CF/CL]]&lt;&gt;"P",Tabla1[[#This Row],[Hora fin ]]-Tabla1[[#This Row],[Hora inicio]],"")</f>
        <v/>
      </c>
      <c r="N178" t="str">
        <f>IF(Tabla1[[#This Row],[Cantidad producida]]&gt;Tabla1[[#This Row],[Cantidad teórica]],"SI","")</f>
        <v/>
      </c>
    </row>
    <row r="179" spans="1:14" x14ac:dyDescent="0.25">
      <c r="A179" s="2">
        <v>45818</v>
      </c>
      <c r="B179" s="3">
        <v>0.71527777777777779</v>
      </c>
      <c r="C179" s="3">
        <v>0.72916666666666663</v>
      </c>
      <c r="D179" s="19" t="s">
        <v>138</v>
      </c>
      <c r="E179" t="s">
        <v>124</v>
      </c>
      <c r="F179" s="19" t="str">
        <f>IF(Tabla1[[#This Row],[P/LC/CF/CL]]="P",Tabla1[[#This Row],[Hora fin ]]-Tabla1[[#This Row],[Hora inicio]],"")</f>
        <v/>
      </c>
      <c r="G179" s="19">
        <f>Tabla1[[#This Row],[Hora fin ]]-Tabla1[[#This Row],[Hora inicio]]</f>
        <v>1.388888888888884E-2</v>
      </c>
      <c r="H179" s="16">
        <f>WEEKNUM(Tabla1[[#This Row],[Día]])</f>
        <v>24</v>
      </c>
      <c r="J179" s="16" t="str">
        <f>IFERROR(((HOUR(Tabla1[[#This Row],[Tiempo producción]])*60+MINUTE(Tabla1[[#This Row],[Tiempo producción]]))/60)*$J$1,"")</f>
        <v/>
      </c>
      <c r="K179" s="21" t="str">
        <f>IFERROR(Tabla1[[#This Row],[Cantidad producida]]/Tabla1[[#This Row],[Cantidad teórica]],"")</f>
        <v/>
      </c>
      <c r="L179" s="3"/>
      <c r="M179" s="23">
        <f>IF(Tabla1[[#This Row],[P/LC/CF/CL]]&lt;&gt;"P",Tabla1[[#This Row],[Hora fin ]]-Tabla1[[#This Row],[Hora inicio]],"")</f>
        <v>1.388888888888884E-2</v>
      </c>
      <c r="N179" t="str">
        <f>IF(Tabla1[[#This Row],[Cantidad producida]]&gt;Tabla1[[#This Row],[Cantidad teórica]],"SI","")</f>
        <v/>
      </c>
    </row>
    <row r="180" spans="1:14" x14ac:dyDescent="0.25">
      <c r="A180" s="2">
        <v>45818</v>
      </c>
      <c r="B180" s="3">
        <v>0.76736111111111116</v>
      </c>
      <c r="C180" s="3">
        <v>0.88194444444444442</v>
      </c>
      <c r="D180" s="19" t="s">
        <v>138</v>
      </c>
      <c r="E180" t="s">
        <v>134</v>
      </c>
      <c r="F180" s="19">
        <f>IF(Tabla1[[#This Row],[P/LC/CF/CL]]="P",Tabla1[[#This Row],[Hora fin ]]-Tabla1[[#This Row],[Hora inicio]],"")</f>
        <v>0.11458333333333326</v>
      </c>
      <c r="G180" s="19">
        <f>Tabla1[[#This Row],[Hora fin ]]-Tabla1[[#This Row],[Hora inicio]]</f>
        <v>0.11458333333333326</v>
      </c>
      <c r="H180" s="16">
        <f>WEEKNUM(Tabla1[[#This Row],[Día]])</f>
        <v>24</v>
      </c>
      <c r="J180" s="16">
        <f>IFERROR(((HOUR(Tabla1[[#This Row],[Tiempo producción]])*60+MINUTE(Tabla1[[#This Row],[Tiempo producción]]))/60)*$J$1,"")</f>
        <v>4950</v>
      </c>
      <c r="K180" s="21">
        <f>IFERROR(Tabla1[[#This Row],[Cantidad producida]]/Tabla1[[#This Row],[Cantidad teórica]],"")</f>
        <v>0</v>
      </c>
      <c r="L180" s="3"/>
      <c r="M180" s="23" t="str">
        <f>IF(Tabla1[[#This Row],[P/LC/CF/CL]]&lt;&gt;"P",Tabla1[[#This Row],[Hora fin ]]-Tabla1[[#This Row],[Hora inicio]],"")</f>
        <v/>
      </c>
      <c r="N180" t="str">
        <f>IF(Tabla1[[#This Row],[Cantidad producida]]&gt;Tabla1[[#This Row],[Cantidad teórica]],"SI","")</f>
        <v/>
      </c>
    </row>
    <row r="181" spans="1:14" x14ac:dyDescent="0.25">
      <c r="A181" s="2">
        <v>45819</v>
      </c>
      <c r="B181" s="3">
        <v>0.25347222222222221</v>
      </c>
      <c r="C181" s="3">
        <v>0.27083333333333331</v>
      </c>
      <c r="D181" s="19" t="str">
        <f>+IF(Tabla1[[#This Row],[Hora inicio]]&lt;$B$1,"Mañana","Tarde")</f>
        <v>Mañana</v>
      </c>
      <c r="E181" t="s">
        <v>124</v>
      </c>
      <c r="F181" s="19" t="str">
        <f>IF(Tabla1[[#This Row],[P/LC/CF/CL]]="P",Tabla1[[#This Row],[Hora fin ]]-Tabla1[[#This Row],[Hora inicio]],"")</f>
        <v/>
      </c>
      <c r="G181" s="19">
        <f>Tabla1[[#This Row],[Hora fin ]]-Tabla1[[#This Row],[Hora inicio]]</f>
        <v>1.7361111111111105E-2</v>
      </c>
      <c r="H181" s="16">
        <f>WEEKNUM(Tabla1[[#This Row],[Día]])</f>
        <v>24</v>
      </c>
      <c r="J181" s="16" t="str">
        <f>IFERROR(((HOUR(Tabla1[[#This Row],[Tiempo producción]])*60+MINUTE(Tabla1[[#This Row],[Tiempo producción]]))/60)*$J$1,"")</f>
        <v/>
      </c>
      <c r="K181" s="21" t="str">
        <f>IFERROR(Tabla1[[#This Row],[Cantidad producida]]/Tabla1[[#This Row],[Cantidad teórica]],"")</f>
        <v/>
      </c>
      <c r="L181" s="3"/>
      <c r="M181" s="23">
        <f>IF(Tabla1[[#This Row],[P/LC/CF/CL]]&lt;&gt;"P",Tabla1[[#This Row],[Hora fin ]]-Tabla1[[#This Row],[Hora inicio]],"")</f>
        <v>1.7361111111111105E-2</v>
      </c>
      <c r="N181" t="str">
        <f>IF(Tabla1[[#This Row],[Cantidad producida]]&gt;Tabla1[[#This Row],[Cantidad teórica]],"SI","")</f>
        <v/>
      </c>
    </row>
    <row r="182" spans="1:14" x14ac:dyDescent="0.25">
      <c r="A182" s="2">
        <v>45819</v>
      </c>
      <c r="B182" s="3">
        <v>0.27083333333333331</v>
      </c>
      <c r="C182" s="3">
        <v>0.50694444444444442</v>
      </c>
      <c r="D182" s="19" t="str">
        <f>+IF(Tabla1[[#This Row],[Hora inicio]]&lt;$B$1,"Mañana","Tarde")</f>
        <v>Mañana</v>
      </c>
      <c r="E182" t="s">
        <v>134</v>
      </c>
      <c r="F182" s="19">
        <f>IF(Tabla1[[#This Row],[P/LC/CF/CL]]="P",Tabla1[[#This Row],[Hora fin ]]-Tabla1[[#This Row],[Hora inicio]],"")</f>
        <v>0.2361111111111111</v>
      </c>
      <c r="G182" s="19">
        <f>Tabla1[[#This Row],[Hora fin ]]-Tabla1[[#This Row],[Hora inicio]]</f>
        <v>0.2361111111111111</v>
      </c>
      <c r="H182" s="16">
        <f>WEEKNUM(Tabla1[[#This Row],[Día]])</f>
        <v>24</v>
      </c>
      <c r="J182" s="16">
        <f>IFERROR(((HOUR(Tabla1[[#This Row],[Tiempo producción]])*60+MINUTE(Tabla1[[#This Row],[Tiempo producción]]))/60)*$J$1,"")</f>
        <v>10200</v>
      </c>
      <c r="K182" s="21">
        <f>IFERROR(Tabla1[[#This Row],[Cantidad producida]]/Tabla1[[#This Row],[Cantidad teórica]],"")</f>
        <v>0</v>
      </c>
      <c r="L182" s="3"/>
      <c r="M182" s="23" t="str">
        <f>IF(Tabla1[[#This Row],[P/LC/CF/CL]]&lt;&gt;"P",Tabla1[[#This Row],[Hora fin ]]-Tabla1[[#This Row],[Hora inicio]],"")</f>
        <v/>
      </c>
      <c r="N182" t="str">
        <f>IF(Tabla1[[#This Row],[Cantidad producida]]&gt;Tabla1[[#This Row],[Cantidad teórica]],"SI","")</f>
        <v/>
      </c>
    </row>
    <row r="183" spans="1:14" x14ac:dyDescent="0.25">
      <c r="A183" s="2">
        <v>45819</v>
      </c>
      <c r="B183" s="3">
        <v>0.51041666666666663</v>
      </c>
      <c r="C183" s="3">
        <v>0.58333333333333337</v>
      </c>
      <c r="D183" s="19" t="str">
        <f>+IF(Tabla1[[#This Row],[Hora inicio]]&lt;$B$1,"Mañana","Tarde")</f>
        <v>Mañana</v>
      </c>
      <c r="E183" t="s">
        <v>124</v>
      </c>
      <c r="F183" s="19" t="str">
        <f>IF(Tabla1[[#This Row],[P/LC/CF/CL]]="P",Tabla1[[#This Row],[Hora fin ]]-Tabla1[[#This Row],[Hora inicio]],"")</f>
        <v/>
      </c>
      <c r="G183" s="19">
        <f>Tabla1[[#This Row],[Hora fin ]]-Tabla1[[#This Row],[Hora inicio]]</f>
        <v>7.2916666666666741E-2</v>
      </c>
      <c r="H183" s="16">
        <f>WEEKNUM(Tabla1[[#This Row],[Día]])</f>
        <v>24</v>
      </c>
      <c r="J183" s="16" t="str">
        <f>IFERROR(((HOUR(Tabla1[[#This Row],[Tiempo producción]])*60+MINUTE(Tabla1[[#This Row],[Tiempo producción]]))/60)*$J$1,"")</f>
        <v/>
      </c>
      <c r="K183" s="21" t="str">
        <f>IFERROR(Tabla1[[#This Row],[Cantidad producida]]/Tabla1[[#This Row],[Cantidad teórica]],"")</f>
        <v/>
      </c>
      <c r="L183" s="3"/>
      <c r="M183" s="23">
        <f>IF(Tabla1[[#This Row],[P/LC/CF/CL]]&lt;&gt;"P",Tabla1[[#This Row],[Hora fin ]]-Tabla1[[#This Row],[Hora inicio]],"")</f>
        <v>7.2916666666666741E-2</v>
      </c>
      <c r="N183" t="str">
        <f>IF(Tabla1[[#This Row],[Cantidad producida]]&gt;Tabla1[[#This Row],[Cantidad teórica]],"SI","")</f>
        <v/>
      </c>
    </row>
    <row r="184" spans="1:14" x14ac:dyDescent="0.25">
      <c r="A184" s="2">
        <v>45819</v>
      </c>
      <c r="B184" s="3">
        <v>0.59027777777777779</v>
      </c>
      <c r="C184" s="3">
        <v>0.84027777777777779</v>
      </c>
      <c r="D184" s="19" t="str">
        <f>+IF(Tabla1[[#This Row],[Hora inicio]]&lt;$B$1,"Mañana","Tarde")</f>
        <v>Tarde</v>
      </c>
      <c r="E184" t="s">
        <v>134</v>
      </c>
      <c r="F184" s="19">
        <f>IF(Tabla1[[#This Row],[P/LC/CF/CL]]="P",Tabla1[[#This Row],[Hora fin ]]-Tabla1[[#This Row],[Hora inicio]],"")</f>
        <v>0.25</v>
      </c>
      <c r="G184" s="19">
        <f>Tabla1[[#This Row],[Hora fin ]]-Tabla1[[#This Row],[Hora inicio]]</f>
        <v>0.25</v>
      </c>
      <c r="H184" s="16">
        <f>WEEKNUM(Tabla1[[#This Row],[Día]])</f>
        <v>24</v>
      </c>
      <c r="J184" s="16">
        <f>IFERROR(((HOUR(Tabla1[[#This Row],[Tiempo producción]])*60+MINUTE(Tabla1[[#This Row],[Tiempo producción]]))/60)*$J$1,"")</f>
        <v>10800</v>
      </c>
      <c r="K184" s="21">
        <f>IFERROR(Tabla1[[#This Row],[Cantidad producida]]/Tabla1[[#This Row],[Cantidad teórica]],"")</f>
        <v>0</v>
      </c>
      <c r="L184" s="3"/>
      <c r="M184" s="23" t="str">
        <f>IF(Tabla1[[#This Row],[P/LC/CF/CL]]&lt;&gt;"P",Tabla1[[#This Row],[Hora fin ]]-Tabla1[[#This Row],[Hora inicio]],"")</f>
        <v/>
      </c>
      <c r="N184" t="str">
        <f>IF(Tabla1[[#This Row],[Cantidad producida]]&gt;Tabla1[[#This Row],[Cantidad teórica]],"SI","")</f>
        <v/>
      </c>
    </row>
    <row r="185" spans="1:14" x14ac:dyDescent="0.25">
      <c r="A185" s="2">
        <v>45820</v>
      </c>
      <c r="B185" s="3">
        <v>0.26041666666666669</v>
      </c>
      <c r="C185" s="3">
        <v>0.28125</v>
      </c>
      <c r="D185" s="19" t="str">
        <f>+IF(Tabla1[[#This Row],[Hora inicio]]&lt;$B$1,"Mañana","Tarde")</f>
        <v>Mañana</v>
      </c>
      <c r="E185" t="s">
        <v>124</v>
      </c>
      <c r="F185" s="19" t="str">
        <f>IF(Tabla1[[#This Row],[P/LC/CF/CL]]="P",Tabla1[[#This Row],[Hora fin ]]-Tabla1[[#This Row],[Hora inicio]],"")</f>
        <v/>
      </c>
      <c r="G185" s="19">
        <f>Tabla1[[#This Row],[Hora fin ]]-Tabla1[[#This Row],[Hora inicio]]</f>
        <v>2.0833333333333315E-2</v>
      </c>
      <c r="H185" s="16">
        <f>WEEKNUM(Tabla1[[#This Row],[Día]])</f>
        <v>24</v>
      </c>
      <c r="J185" s="16" t="str">
        <f>IFERROR(((HOUR(Tabla1[[#This Row],[Tiempo producción]])*60+MINUTE(Tabla1[[#This Row],[Tiempo producción]]))/60)*$J$1,"")</f>
        <v/>
      </c>
      <c r="K185" s="21" t="str">
        <f>IFERROR(Tabla1[[#This Row],[Cantidad producida]]/Tabla1[[#This Row],[Cantidad teórica]],"")</f>
        <v/>
      </c>
      <c r="L185" s="3"/>
      <c r="M185" s="23">
        <f>IF(Tabla1[[#This Row],[P/LC/CF/CL]]&lt;&gt;"P",Tabla1[[#This Row],[Hora fin ]]-Tabla1[[#This Row],[Hora inicio]],"")</f>
        <v>2.0833333333333315E-2</v>
      </c>
      <c r="N185" t="str">
        <f>IF(Tabla1[[#This Row],[Cantidad producida]]&gt;Tabla1[[#This Row],[Cantidad teórica]],"SI","")</f>
        <v/>
      </c>
    </row>
    <row r="186" spans="1:14" x14ac:dyDescent="0.25">
      <c r="A186" s="2">
        <v>45820</v>
      </c>
      <c r="B186" s="3">
        <v>0.28125</v>
      </c>
      <c r="C186" s="3">
        <v>0.51388888888888884</v>
      </c>
      <c r="D186" s="19" t="str">
        <f>+IF(Tabla1[[#This Row],[Hora inicio]]&lt;$B$1,"Mañana","Tarde")</f>
        <v>Mañana</v>
      </c>
      <c r="E186" t="s">
        <v>134</v>
      </c>
      <c r="F186" s="19">
        <f>IF(Tabla1[[#This Row],[P/LC/CF/CL]]="P",Tabla1[[#This Row],[Hora fin ]]-Tabla1[[#This Row],[Hora inicio]],"")</f>
        <v>0.23263888888888884</v>
      </c>
      <c r="G186" s="19">
        <f>Tabla1[[#This Row],[Hora fin ]]-Tabla1[[#This Row],[Hora inicio]]</f>
        <v>0.23263888888888884</v>
      </c>
      <c r="H186" s="16">
        <f>WEEKNUM(Tabla1[[#This Row],[Día]])</f>
        <v>24</v>
      </c>
      <c r="J186" s="16">
        <f>IFERROR(((HOUR(Tabla1[[#This Row],[Tiempo producción]])*60+MINUTE(Tabla1[[#This Row],[Tiempo producción]]))/60)*$J$1,"")</f>
        <v>10050</v>
      </c>
      <c r="K186" s="21">
        <f>IFERROR(Tabla1[[#This Row],[Cantidad producida]]/Tabla1[[#This Row],[Cantidad teórica]],"")</f>
        <v>0</v>
      </c>
      <c r="L186" s="3"/>
      <c r="M186" s="23" t="str">
        <f>IF(Tabla1[[#This Row],[P/LC/CF/CL]]&lt;&gt;"P",Tabla1[[#This Row],[Hora fin ]]-Tabla1[[#This Row],[Hora inicio]],"")</f>
        <v/>
      </c>
      <c r="N186" t="str">
        <f>IF(Tabla1[[#This Row],[Cantidad producida]]&gt;Tabla1[[#This Row],[Cantidad teórica]],"SI","")</f>
        <v/>
      </c>
    </row>
    <row r="187" spans="1:14" x14ac:dyDescent="0.25">
      <c r="A187" s="2">
        <v>45820</v>
      </c>
      <c r="B187" s="3">
        <v>0.54513888888888884</v>
      </c>
      <c r="C187" s="3">
        <v>0.55694444444444446</v>
      </c>
      <c r="D187" s="19" t="str">
        <f>+IF(Tabla1[[#This Row],[Hora inicio]]&lt;$B$1,"Mañana","Tarde")</f>
        <v>Mañana</v>
      </c>
      <c r="E187" t="s">
        <v>124</v>
      </c>
      <c r="F187" s="19" t="str">
        <f>IF(Tabla1[[#This Row],[P/LC/CF/CL]]="P",Tabla1[[#This Row],[Hora fin ]]-Tabla1[[#This Row],[Hora inicio]],"")</f>
        <v/>
      </c>
      <c r="G187" s="19">
        <f>Tabla1[[#This Row],[Hora fin ]]-Tabla1[[#This Row],[Hora inicio]]</f>
        <v>1.1805555555555625E-2</v>
      </c>
      <c r="H187" s="16">
        <f>WEEKNUM(Tabla1[[#This Row],[Día]])</f>
        <v>24</v>
      </c>
      <c r="J187" s="16" t="str">
        <f>IFERROR(((HOUR(Tabla1[[#This Row],[Tiempo producción]])*60+MINUTE(Tabla1[[#This Row],[Tiempo producción]]))/60)*$J$1,"")</f>
        <v/>
      </c>
      <c r="K187" s="21" t="str">
        <f>IFERROR(Tabla1[[#This Row],[Cantidad producida]]/Tabla1[[#This Row],[Cantidad teórica]],"")</f>
        <v/>
      </c>
      <c r="L187" s="3"/>
      <c r="M187" s="23">
        <f>IF(Tabla1[[#This Row],[P/LC/CF/CL]]&lt;&gt;"P",Tabla1[[#This Row],[Hora fin ]]-Tabla1[[#This Row],[Hora inicio]],"")</f>
        <v>1.1805555555555625E-2</v>
      </c>
      <c r="N187" t="str">
        <f>IF(Tabla1[[#This Row],[Cantidad producida]]&gt;Tabla1[[#This Row],[Cantidad teórica]],"SI","")</f>
        <v/>
      </c>
    </row>
    <row r="188" spans="1:14" x14ac:dyDescent="0.25">
      <c r="A188" s="2">
        <v>45820</v>
      </c>
      <c r="B188" s="3">
        <v>0.55694444444444446</v>
      </c>
      <c r="C188" s="3">
        <v>0.58333333333333337</v>
      </c>
      <c r="D188" s="19" t="str">
        <f>+IF(Tabla1[[#This Row],[Hora inicio]]&lt;$B$1,"Mañana","Tarde")</f>
        <v>Mañana</v>
      </c>
      <c r="E188" t="s">
        <v>134</v>
      </c>
      <c r="F188" s="19">
        <f>IF(Tabla1[[#This Row],[P/LC/CF/CL]]="P",Tabla1[[#This Row],[Hora fin ]]-Tabla1[[#This Row],[Hora inicio]],"")</f>
        <v>2.6388888888888906E-2</v>
      </c>
      <c r="G188" s="19">
        <f>Tabla1[[#This Row],[Hora fin ]]-Tabla1[[#This Row],[Hora inicio]]</f>
        <v>2.6388888888888906E-2</v>
      </c>
      <c r="H188" s="16">
        <f>WEEKNUM(Tabla1[[#This Row],[Día]])</f>
        <v>24</v>
      </c>
      <c r="J188" s="16">
        <f>IFERROR(((HOUR(Tabla1[[#This Row],[Tiempo producción]])*60+MINUTE(Tabla1[[#This Row],[Tiempo producción]]))/60)*$J$1,"")</f>
        <v>1140</v>
      </c>
      <c r="K188" s="21">
        <f>IFERROR(Tabla1[[#This Row],[Cantidad producida]]/Tabla1[[#This Row],[Cantidad teórica]],"")</f>
        <v>0</v>
      </c>
      <c r="L188" s="3"/>
      <c r="M188" s="23" t="str">
        <f>IF(Tabla1[[#This Row],[P/LC/CF/CL]]&lt;&gt;"P",Tabla1[[#This Row],[Hora fin ]]-Tabla1[[#This Row],[Hora inicio]],"")</f>
        <v/>
      </c>
      <c r="N188" t="str">
        <f>IF(Tabla1[[#This Row],[Cantidad producida]]&gt;Tabla1[[#This Row],[Cantidad teórica]],"SI","")</f>
        <v/>
      </c>
    </row>
    <row r="189" spans="1:14" x14ac:dyDescent="0.25">
      <c r="A189" s="2">
        <v>45820</v>
      </c>
      <c r="B189" s="3">
        <v>0.59027777777777779</v>
      </c>
      <c r="C189" s="3">
        <v>0.81597222222222221</v>
      </c>
      <c r="D189" s="19" t="str">
        <f>+IF(Tabla1[[#This Row],[Hora inicio]]&lt;$B$1,"Mañana","Tarde")</f>
        <v>Tarde</v>
      </c>
      <c r="E189" t="s">
        <v>134</v>
      </c>
      <c r="F189" s="19">
        <f>IF(Tabla1[[#This Row],[P/LC/CF/CL]]="P",Tabla1[[#This Row],[Hora fin ]]-Tabla1[[#This Row],[Hora inicio]],"")</f>
        <v>0.22569444444444442</v>
      </c>
      <c r="G189" s="19">
        <f>Tabla1[[#This Row],[Hora fin ]]-Tabla1[[#This Row],[Hora inicio]]</f>
        <v>0.22569444444444442</v>
      </c>
      <c r="H189" s="16">
        <f>WEEKNUM(Tabla1[[#This Row],[Día]])</f>
        <v>24</v>
      </c>
      <c r="J189" s="16">
        <f>IFERROR(((HOUR(Tabla1[[#This Row],[Tiempo producción]])*60+MINUTE(Tabla1[[#This Row],[Tiempo producción]]))/60)*$J$1,"")</f>
        <v>9750</v>
      </c>
      <c r="K189" s="21">
        <f>IFERROR(Tabla1[[#This Row],[Cantidad producida]]/Tabla1[[#This Row],[Cantidad teórica]],"")</f>
        <v>0</v>
      </c>
      <c r="L189" s="3"/>
      <c r="M189" s="23" t="str">
        <f>IF(Tabla1[[#This Row],[P/LC/CF/CL]]&lt;&gt;"P",Tabla1[[#This Row],[Hora fin ]]-Tabla1[[#This Row],[Hora inicio]],"")</f>
        <v/>
      </c>
      <c r="N189" t="str">
        <f>IF(Tabla1[[#This Row],[Cantidad producida]]&gt;Tabla1[[#This Row],[Cantidad teórica]],"SI","")</f>
        <v/>
      </c>
    </row>
    <row r="190" spans="1:14" x14ac:dyDescent="0.25">
      <c r="A190" s="2">
        <v>45825</v>
      </c>
      <c r="B190" s="3">
        <v>0.38541666666666669</v>
      </c>
      <c r="C190" s="3">
        <v>0.54166666666666663</v>
      </c>
      <c r="D190" s="19" t="str">
        <f>+IF(Tabla1[[#This Row],[Hora inicio]]&lt;$B$1,"Mañana","Tarde")</f>
        <v>Mañana</v>
      </c>
      <c r="E190" t="s">
        <v>123</v>
      </c>
      <c r="F190" s="19" t="str">
        <f>IF(Tabla1[[#This Row],[P/LC/CF/CL]]="P",Tabla1[[#This Row],[Hora fin ]]-Tabla1[[#This Row],[Hora inicio]],"")</f>
        <v/>
      </c>
      <c r="G190" s="19">
        <f>Tabla1[[#This Row],[Hora fin ]]-Tabla1[[#This Row],[Hora inicio]]</f>
        <v>0.15624999999999994</v>
      </c>
      <c r="H190" s="16">
        <f>WEEKNUM(Tabla1[[#This Row],[Día]])</f>
        <v>25</v>
      </c>
      <c r="J190" s="16" t="str">
        <f>IFERROR(((HOUR(Tabla1[[#This Row],[Tiempo producción]])*60+MINUTE(Tabla1[[#This Row],[Tiempo producción]]))/60)*$J$1,"")</f>
        <v/>
      </c>
      <c r="K190" s="21" t="str">
        <f>IFERROR(Tabla1[[#This Row],[Cantidad producida]]/Tabla1[[#This Row],[Cantidad teórica]],"")</f>
        <v/>
      </c>
      <c r="L190" s="3"/>
      <c r="M190" s="23">
        <f>IF(Tabla1[[#This Row],[P/LC/CF/CL]]&lt;&gt;"P",Tabla1[[#This Row],[Hora fin ]]-Tabla1[[#This Row],[Hora inicio]],"")</f>
        <v>0.15624999999999994</v>
      </c>
      <c r="N190" t="str">
        <f>IF(Tabla1[[#This Row],[Cantidad producida]]&gt;Tabla1[[#This Row],[Cantidad teórica]],"SI","")</f>
        <v/>
      </c>
    </row>
    <row r="191" spans="1:14" x14ac:dyDescent="0.25">
      <c r="A191" s="2">
        <v>45825</v>
      </c>
      <c r="B191" s="3">
        <v>0.61458333333333337</v>
      </c>
      <c r="C191" s="3">
        <v>0.82291666666666663</v>
      </c>
      <c r="D191" s="19" t="str">
        <f>+IF(Tabla1[[#This Row],[Hora inicio]]&lt;$B$1,"Mañana","Tarde")</f>
        <v>Tarde</v>
      </c>
      <c r="E191" t="s">
        <v>134</v>
      </c>
      <c r="F191" s="19">
        <f>IF(Tabla1[[#This Row],[P/LC/CF/CL]]="P",Tabla1[[#This Row],[Hora fin ]]-Tabla1[[#This Row],[Hora inicio]],"")</f>
        <v>0.20833333333333326</v>
      </c>
      <c r="G191" s="19">
        <f>Tabla1[[#This Row],[Hora fin ]]-Tabla1[[#This Row],[Hora inicio]]</f>
        <v>0.20833333333333326</v>
      </c>
      <c r="H191" s="16">
        <f>WEEKNUM(Tabla1[[#This Row],[Día]])</f>
        <v>25</v>
      </c>
      <c r="J191" s="16">
        <f>IFERROR(((HOUR(Tabla1[[#This Row],[Tiempo producción]])*60+MINUTE(Tabla1[[#This Row],[Tiempo producción]]))/60)*$J$1,"")</f>
        <v>9000</v>
      </c>
      <c r="K191" s="21">
        <f>IFERROR(Tabla1[[#This Row],[Cantidad producida]]/Tabla1[[#This Row],[Cantidad teórica]],"")</f>
        <v>0</v>
      </c>
      <c r="L191" s="3"/>
      <c r="M191" s="23" t="str">
        <f>IF(Tabla1[[#This Row],[P/LC/CF/CL]]&lt;&gt;"P",Tabla1[[#This Row],[Hora fin ]]-Tabla1[[#This Row],[Hora inicio]],"")</f>
        <v/>
      </c>
      <c r="N191" t="str">
        <f>IF(Tabla1[[#This Row],[Cantidad producida]]&gt;Tabla1[[#This Row],[Cantidad teórica]],"SI","")</f>
        <v/>
      </c>
    </row>
    <row r="192" spans="1:14" x14ac:dyDescent="0.25">
      <c r="A192" s="2">
        <v>45826</v>
      </c>
      <c r="B192" s="3">
        <v>0.29166666666666669</v>
      </c>
      <c r="C192" s="3">
        <v>0.32291666666666669</v>
      </c>
      <c r="D192" s="19" t="str">
        <f>+IF(Tabla1[[#This Row],[Hora inicio]]&lt;$B$1,"Mañana","Tarde")</f>
        <v>Mañana</v>
      </c>
      <c r="E192" t="s">
        <v>134</v>
      </c>
      <c r="F192" s="19">
        <f>IF(Tabla1[[#This Row],[P/LC/CF/CL]]="P",Tabla1[[#This Row],[Hora fin ]]-Tabla1[[#This Row],[Hora inicio]],"")</f>
        <v>3.125E-2</v>
      </c>
      <c r="G192" s="19">
        <f>Tabla1[[#This Row],[Hora fin ]]-Tabla1[[#This Row],[Hora inicio]]</f>
        <v>3.125E-2</v>
      </c>
      <c r="H192" s="16">
        <f>WEEKNUM(Tabla1[[#This Row],[Día]])</f>
        <v>25</v>
      </c>
      <c r="J192" s="16">
        <f>IFERROR(((HOUR(Tabla1[[#This Row],[Tiempo producción]])*60+MINUTE(Tabla1[[#This Row],[Tiempo producción]]))/60)*$J$1,"")</f>
        <v>1350</v>
      </c>
      <c r="K192" s="21">
        <f>IFERROR(Tabla1[[#This Row],[Cantidad producida]]/Tabla1[[#This Row],[Cantidad teórica]],"")</f>
        <v>0</v>
      </c>
      <c r="L192" s="3"/>
      <c r="M192" s="23" t="str">
        <f>IF(Tabla1[[#This Row],[P/LC/CF/CL]]&lt;&gt;"P",Tabla1[[#This Row],[Hora fin ]]-Tabla1[[#This Row],[Hora inicio]],"")</f>
        <v/>
      </c>
      <c r="N192" t="str">
        <f>IF(Tabla1[[#This Row],[Cantidad producida]]&gt;Tabla1[[#This Row],[Cantidad teórica]],"SI","")</f>
        <v/>
      </c>
    </row>
    <row r="193" spans="1:14" x14ac:dyDescent="0.25">
      <c r="A193" s="2">
        <v>45826</v>
      </c>
      <c r="B193" s="3">
        <v>0.33333333333333331</v>
      </c>
      <c r="C193" s="3">
        <v>0.35416666666666669</v>
      </c>
      <c r="D193" s="19" t="str">
        <f>+IF(Tabla1[[#This Row],[Hora inicio]]&lt;$B$1,"Mañana","Tarde")</f>
        <v>Mañana</v>
      </c>
      <c r="E193" t="s">
        <v>124</v>
      </c>
      <c r="F193" s="19" t="str">
        <f>IF(Tabla1[[#This Row],[P/LC/CF/CL]]="P",Tabla1[[#This Row],[Hora fin ]]-Tabla1[[#This Row],[Hora inicio]],"")</f>
        <v/>
      </c>
      <c r="G193" s="19">
        <f>Tabla1[[#This Row],[Hora fin ]]-Tabla1[[#This Row],[Hora inicio]]</f>
        <v>2.083333333333337E-2</v>
      </c>
      <c r="H193" s="16">
        <f>WEEKNUM(Tabla1[[#This Row],[Día]])</f>
        <v>25</v>
      </c>
      <c r="J193" s="16" t="str">
        <f>IFERROR(((HOUR(Tabla1[[#This Row],[Tiempo producción]])*60+MINUTE(Tabla1[[#This Row],[Tiempo producción]]))/60)*$J$1,"")</f>
        <v/>
      </c>
      <c r="K193" s="21" t="str">
        <f>IFERROR(Tabla1[[#This Row],[Cantidad producida]]/Tabla1[[#This Row],[Cantidad teórica]],"")</f>
        <v/>
      </c>
      <c r="L193" s="3"/>
      <c r="M193" s="23">
        <f>IF(Tabla1[[#This Row],[P/LC/CF/CL]]&lt;&gt;"P",Tabla1[[#This Row],[Hora fin ]]-Tabla1[[#This Row],[Hora inicio]],"")</f>
        <v>2.083333333333337E-2</v>
      </c>
      <c r="N193" t="str">
        <f>IF(Tabla1[[#This Row],[Cantidad producida]]&gt;Tabla1[[#This Row],[Cantidad teórica]],"SI","")</f>
        <v/>
      </c>
    </row>
    <row r="194" spans="1:14" x14ac:dyDescent="0.25">
      <c r="A194" s="2">
        <v>45826</v>
      </c>
      <c r="B194" s="3">
        <v>0.38194444444444442</v>
      </c>
      <c r="C194" s="3">
        <v>0.57291666666666663</v>
      </c>
      <c r="D194" s="19" t="str">
        <f>+IF(Tabla1[[#This Row],[Hora inicio]]&lt;$B$1,"Mañana","Tarde")</f>
        <v>Mañana</v>
      </c>
      <c r="E194" t="s">
        <v>134</v>
      </c>
      <c r="F194" s="19">
        <f>IF(Tabla1[[#This Row],[P/LC/CF/CL]]="P",Tabla1[[#This Row],[Hora fin ]]-Tabla1[[#This Row],[Hora inicio]],"")</f>
        <v>0.19097222222222221</v>
      </c>
      <c r="G194" s="19">
        <f>Tabla1[[#This Row],[Hora fin ]]-Tabla1[[#This Row],[Hora inicio]]</f>
        <v>0.19097222222222221</v>
      </c>
      <c r="H194" s="16">
        <f>WEEKNUM(Tabla1[[#This Row],[Día]])</f>
        <v>25</v>
      </c>
      <c r="J194" s="16">
        <f>IFERROR(((HOUR(Tabla1[[#This Row],[Tiempo producción]])*60+MINUTE(Tabla1[[#This Row],[Tiempo producción]]))/60)*$J$1,"")</f>
        <v>8250</v>
      </c>
      <c r="K194" s="21">
        <f>IFERROR(Tabla1[[#This Row],[Cantidad producida]]/Tabla1[[#This Row],[Cantidad teórica]],"")</f>
        <v>0</v>
      </c>
      <c r="L194" s="3"/>
      <c r="M194" s="23" t="str">
        <f>IF(Tabla1[[#This Row],[P/LC/CF/CL]]&lt;&gt;"P",Tabla1[[#This Row],[Hora fin ]]-Tabla1[[#This Row],[Hora inicio]],"")</f>
        <v/>
      </c>
      <c r="N194" t="str">
        <f>IF(Tabla1[[#This Row],[Cantidad producida]]&gt;Tabla1[[#This Row],[Cantidad teórica]],"SI","")</f>
        <v/>
      </c>
    </row>
    <row r="195" spans="1:14" x14ac:dyDescent="0.25">
      <c r="A195" s="2">
        <v>45826</v>
      </c>
      <c r="B195" s="3">
        <v>0.59375</v>
      </c>
      <c r="C195" s="3">
        <v>0.82638888888888884</v>
      </c>
      <c r="D195" s="19" t="str">
        <f>+IF(Tabla1[[#This Row],[Hora inicio]]&lt;$B$1,"Mañana","Tarde")</f>
        <v>Tarde</v>
      </c>
      <c r="E195" t="s">
        <v>134</v>
      </c>
      <c r="F195" s="19">
        <f>IF(Tabla1[[#This Row],[P/LC/CF/CL]]="P",Tabla1[[#This Row],[Hora fin ]]-Tabla1[[#This Row],[Hora inicio]],"")</f>
        <v>0.23263888888888884</v>
      </c>
      <c r="G195" s="19">
        <f>Tabla1[[#This Row],[Hora fin ]]-Tabla1[[#This Row],[Hora inicio]]</f>
        <v>0.23263888888888884</v>
      </c>
      <c r="H195" s="16">
        <f>WEEKNUM(Tabla1[[#This Row],[Día]])</f>
        <v>25</v>
      </c>
      <c r="J195" s="16">
        <f>IFERROR(((HOUR(Tabla1[[#This Row],[Tiempo producción]])*60+MINUTE(Tabla1[[#This Row],[Tiempo producción]]))/60)*$J$1,"")</f>
        <v>10050</v>
      </c>
      <c r="K195" s="21">
        <f>IFERROR(Tabla1[[#This Row],[Cantidad producida]]/Tabla1[[#This Row],[Cantidad teórica]],"")</f>
        <v>0</v>
      </c>
      <c r="L195" s="3"/>
      <c r="M195" s="23" t="str">
        <f>IF(Tabla1[[#This Row],[P/LC/CF/CL]]&lt;&gt;"P",Tabla1[[#This Row],[Hora fin ]]-Tabla1[[#This Row],[Hora inicio]],"")</f>
        <v/>
      </c>
      <c r="N195" t="str">
        <f>IF(Tabla1[[#This Row],[Cantidad producida]]&gt;Tabla1[[#This Row],[Cantidad teórica]],"SI","")</f>
        <v/>
      </c>
    </row>
    <row r="196" spans="1:14" x14ac:dyDescent="0.25">
      <c r="A196" s="2">
        <v>45828</v>
      </c>
      <c r="B196" s="3">
        <v>0.26041666666666669</v>
      </c>
      <c r="C196" s="3">
        <v>0.41666666666666669</v>
      </c>
      <c r="D196" s="19" t="str">
        <f>+IF(Tabla1[[#This Row],[Hora inicio]]&lt;$B$1,"Mañana","Tarde")</f>
        <v>Mañana</v>
      </c>
      <c r="E196" t="s">
        <v>122</v>
      </c>
      <c r="F196" s="19" t="str">
        <f>IF(Tabla1[[#This Row],[P/LC/CF/CL]]="P",Tabla1[[#This Row],[Hora fin ]]-Tabla1[[#This Row],[Hora inicio]],"")</f>
        <v/>
      </c>
      <c r="G196" s="19">
        <f>Tabla1[[#This Row],[Hora fin ]]-Tabla1[[#This Row],[Hora inicio]]</f>
        <v>0.15625</v>
      </c>
      <c r="H196" s="16">
        <f>WEEKNUM(Tabla1[[#This Row],[Día]])</f>
        <v>25</v>
      </c>
      <c r="J196" s="16" t="str">
        <f>IFERROR(((HOUR(Tabla1[[#This Row],[Tiempo producción]])*60+MINUTE(Tabla1[[#This Row],[Tiempo producción]]))/60)*$J$1,"")</f>
        <v/>
      </c>
      <c r="K196" s="21" t="str">
        <f>IFERROR(Tabla1[[#This Row],[Cantidad producida]]/Tabla1[[#This Row],[Cantidad teórica]],"")</f>
        <v/>
      </c>
      <c r="L196" s="3"/>
      <c r="M196" s="23">
        <f>IF(Tabla1[[#This Row],[P/LC/CF/CL]]&lt;&gt;"P",Tabla1[[#This Row],[Hora fin ]]-Tabla1[[#This Row],[Hora inicio]],"")</f>
        <v>0.15625</v>
      </c>
      <c r="N196" t="str">
        <f>IF(Tabla1[[#This Row],[Cantidad producida]]&gt;Tabla1[[#This Row],[Cantidad teórica]],"SI","")</f>
        <v/>
      </c>
    </row>
    <row r="197" spans="1:14" x14ac:dyDescent="0.25">
      <c r="A197" s="2">
        <v>45828</v>
      </c>
      <c r="B197" s="3">
        <v>0.45833333333333331</v>
      </c>
      <c r="C197" s="3">
        <v>0.58333333333333337</v>
      </c>
      <c r="D197" s="19" t="str">
        <f>+IF(Tabla1[[#This Row],[Hora inicio]]&lt;$B$1,"Mañana","Tarde")</f>
        <v>Mañana</v>
      </c>
      <c r="E197" t="s">
        <v>123</v>
      </c>
      <c r="F197" s="19" t="str">
        <f>IF(Tabla1[[#This Row],[P/LC/CF/CL]]="P",Tabla1[[#This Row],[Hora fin ]]-Tabla1[[#This Row],[Hora inicio]],"")</f>
        <v/>
      </c>
      <c r="G197" s="19">
        <f>Tabla1[[#This Row],[Hora fin ]]-Tabla1[[#This Row],[Hora inicio]]</f>
        <v>0.12500000000000006</v>
      </c>
      <c r="H197" s="16">
        <f>WEEKNUM(Tabla1[[#This Row],[Día]])</f>
        <v>25</v>
      </c>
      <c r="J197" s="16" t="str">
        <f>IFERROR(((HOUR(Tabla1[[#This Row],[Tiempo producción]])*60+MINUTE(Tabla1[[#This Row],[Tiempo producción]]))/60)*$J$1,"")</f>
        <v/>
      </c>
      <c r="K197" s="21" t="str">
        <f>IFERROR(Tabla1[[#This Row],[Cantidad producida]]/Tabla1[[#This Row],[Cantidad teórica]],"")</f>
        <v/>
      </c>
      <c r="L197" s="3"/>
      <c r="M197" s="23">
        <f>IF(Tabla1[[#This Row],[P/LC/CF/CL]]&lt;&gt;"P",Tabla1[[#This Row],[Hora fin ]]-Tabla1[[#This Row],[Hora inicio]],"")</f>
        <v>0.12500000000000006</v>
      </c>
      <c r="N197" t="str">
        <f>IF(Tabla1[[#This Row],[Cantidad producida]]&gt;Tabla1[[#This Row],[Cantidad teórica]],"SI","")</f>
        <v/>
      </c>
    </row>
    <row r="198" spans="1:14" x14ac:dyDescent="0.25">
      <c r="A198" s="2">
        <v>45828</v>
      </c>
      <c r="B198" s="3">
        <v>0.59722222222222221</v>
      </c>
      <c r="C198" s="3">
        <v>0.71875</v>
      </c>
      <c r="D198" s="19" t="str">
        <f>+IF(Tabla1[[#This Row],[Hora inicio]]&lt;$B$1,"Mañana","Tarde")</f>
        <v>Tarde</v>
      </c>
      <c r="E198" t="s">
        <v>123</v>
      </c>
      <c r="F198" s="19" t="str">
        <f>IF(Tabla1[[#This Row],[P/LC/CF/CL]]="P",Tabla1[[#This Row],[Hora fin ]]-Tabla1[[#This Row],[Hora inicio]],"")</f>
        <v/>
      </c>
      <c r="G198" s="19">
        <f>Tabla1[[#This Row],[Hora fin ]]-Tabla1[[#This Row],[Hora inicio]]</f>
        <v>0.12152777777777779</v>
      </c>
      <c r="H198" s="16">
        <f>WEEKNUM(Tabla1[[#This Row],[Día]])</f>
        <v>25</v>
      </c>
      <c r="J198" s="16" t="str">
        <f>IFERROR(((HOUR(Tabla1[[#This Row],[Tiempo producción]])*60+MINUTE(Tabla1[[#This Row],[Tiempo producción]]))/60)*$J$1,"")</f>
        <v/>
      </c>
      <c r="K198" s="21" t="str">
        <f>IFERROR(Tabla1[[#This Row],[Cantidad producida]]/Tabla1[[#This Row],[Cantidad teórica]],"")</f>
        <v/>
      </c>
      <c r="L198" s="3"/>
      <c r="M198" s="23">
        <f>IF(Tabla1[[#This Row],[P/LC/CF/CL]]&lt;&gt;"P",Tabla1[[#This Row],[Hora fin ]]-Tabla1[[#This Row],[Hora inicio]],"")</f>
        <v>0.12152777777777779</v>
      </c>
      <c r="N198" t="str">
        <f>IF(Tabla1[[#This Row],[Cantidad producida]]&gt;Tabla1[[#This Row],[Cantidad teórica]],"SI","")</f>
        <v/>
      </c>
    </row>
    <row r="199" spans="1:14" x14ac:dyDescent="0.25">
      <c r="A199" s="2">
        <v>45833</v>
      </c>
      <c r="B199" s="3">
        <v>0.33333333333333331</v>
      </c>
      <c r="C199" s="3">
        <v>0.56944444444444442</v>
      </c>
      <c r="D199" s="19" t="str">
        <f>+IF(Tabla1[[#This Row],[Hora inicio]]&lt;$B$1,"Mañana","Tarde")</f>
        <v>Mañana</v>
      </c>
      <c r="E199" t="s">
        <v>134</v>
      </c>
      <c r="F199" s="19">
        <f>IF(Tabla1[[#This Row],[P/LC/CF/CL]]="P",Tabla1[[#This Row],[Hora fin ]]-Tabla1[[#This Row],[Hora inicio]],"")</f>
        <v>0.2361111111111111</v>
      </c>
      <c r="G199" s="19">
        <f>Tabla1[[#This Row],[Hora fin ]]-Tabla1[[#This Row],[Hora inicio]]</f>
        <v>0.2361111111111111</v>
      </c>
      <c r="H199" s="16">
        <f>WEEKNUM(Tabla1[[#This Row],[Día]])</f>
        <v>26</v>
      </c>
      <c r="I199" s="8">
        <v>3924</v>
      </c>
      <c r="J199" s="16">
        <f>IFERROR(((HOUR(Tabla1[[#This Row],[Tiempo producción]])*60+MINUTE(Tabla1[[#This Row],[Tiempo producción]]))/60)*$J$1,"")</f>
        <v>10200</v>
      </c>
      <c r="K199" s="21">
        <f>IFERROR(Tabla1[[#This Row],[Cantidad producida]]/Tabla1[[#This Row],[Cantidad teórica]],"")</f>
        <v>0.38470588235294118</v>
      </c>
      <c r="L199" s="3" t="s">
        <v>139</v>
      </c>
      <c r="M199" s="23" t="str">
        <f>IF(Tabla1[[#This Row],[P/LC/CF/CL]]&lt;&gt;"P",Tabla1[[#This Row],[Hora fin ]]-Tabla1[[#This Row],[Hora inicio]],"")</f>
        <v/>
      </c>
      <c r="N199" t="str">
        <f>IF(Tabla1[[#This Row],[Cantidad producida]]&gt;Tabla1[[#This Row],[Cantidad teórica]],"SI","")</f>
        <v/>
      </c>
    </row>
    <row r="200" spans="1:14" x14ac:dyDescent="0.25">
      <c r="A200" s="2">
        <v>45833</v>
      </c>
      <c r="B200" s="3">
        <v>0.59375</v>
      </c>
      <c r="C200" s="3">
        <v>0.89583333333333337</v>
      </c>
      <c r="D200" s="19" t="str">
        <f>+IF(Tabla1[[#This Row],[Hora inicio]]&lt;$B$1,"Mañana","Tarde")</f>
        <v>Tarde</v>
      </c>
      <c r="E200" t="s">
        <v>134</v>
      </c>
      <c r="F200" s="19">
        <f>IF(Tabla1[[#This Row],[P/LC/CF/CL]]="P",Tabla1[[#This Row],[Hora fin ]]-Tabla1[[#This Row],[Hora inicio]],"")</f>
        <v>0.30208333333333337</v>
      </c>
      <c r="G200" s="19">
        <f>Tabla1[[#This Row],[Hora fin ]]-Tabla1[[#This Row],[Hora inicio]]</f>
        <v>0.30208333333333337</v>
      </c>
      <c r="H200" s="16">
        <f>WEEKNUM(Tabla1[[#This Row],[Día]])</f>
        <v>26</v>
      </c>
      <c r="I200" s="8">
        <v>5658</v>
      </c>
      <c r="J200" s="16">
        <f>IFERROR(((HOUR(Tabla1[[#This Row],[Tiempo producción]])*60+MINUTE(Tabla1[[#This Row],[Tiempo producción]]))/60)*$J$1,"")</f>
        <v>13050</v>
      </c>
      <c r="K200" s="21">
        <f>IFERROR(Tabla1[[#This Row],[Cantidad producida]]/Tabla1[[#This Row],[Cantidad teórica]],"")</f>
        <v>0.43356321839080458</v>
      </c>
      <c r="L200" s="3"/>
      <c r="M200" s="23" t="str">
        <f>IF(Tabla1[[#This Row],[P/LC/CF/CL]]&lt;&gt;"P",Tabla1[[#This Row],[Hora fin ]]-Tabla1[[#This Row],[Hora inicio]],"")</f>
        <v/>
      </c>
      <c r="N200" t="str">
        <f>IF(Tabla1[[#This Row],[Cantidad producida]]&gt;Tabla1[[#This Row],[Cantidad teórica]],"SI","")</f>
        <v/>
      </c>
    </row>
    <row r="201" spans="1:14" x14ac:dyDescent="0.25">
      <c r="A201" s="2">
        <v>45834</v>
      </c>
      <c r="B201" s="3">
        <v>0.27083333333333331</v>
      </c>
      <c r="C201" s="3">
        <v>0.31944444444444442</v>
      </c>
      <c r="D201" s="19" t="str">
        <f>+IF(Tabla1[[#This Row],[Hora inicio]]&lt;$B$1,"Mañana","Tarde")</f>
        <v>Mañana</v>
      </c>
      <c r="E201" t="s">
        <v>134</v>
      </c>
      <c r="F201" s="19">
        <f>IF(Tabla1[[#This Row],[P/LC/CF/CL]]="P",Tabla1[[#This Row],[Hora fin ]]-Tabla1[[#This Row],[Hora inicio]],"")</f>
        <v>4.8611111111111105E-2</v>
      </c>
      <c r="G201" s="19">
        <f>Tabla1[[#This Row],[Hora fin ]]-Tabla1[[#This Row],[Hora inicio]]</f>
        <v>4.8611111111111105E-2</v>
      </c>
      <c r="H201" s="16">
        <f>WEEKNUM(Tabla1[[#This Row],[Día]])</f>
        <v>26</v>
      </c>
      <c r="I201" s="8">
        <v>822</v>
      </c>
      <c r="J201" s="16">
        <f>IFERROR(((HOUR(Tabla1[[#This Row],[Tiempo producción]])*60+MINUTE(Tabla1[[#This Row],[Tiempo producción]]))/60)*$J$1,"")</f>
        <v>2100</v>
      </c>
      <c r="K201" s="21">
        <f>IFERROR(Tabla1[[#This Row],[Cantidad producida]]/Tabla1[[#This Row],[Cantidad teórica]],"")</f>
        <v>0.3914285714285714</v>
      </c>
      <c r="L201" s="3"/>
      <c r="M201" s="23" t="str">
        <f>IF(Tabla1[[#This Row],[P/LC/CF/CL]]&lt;&gt;"P",Tabla1[[#This Row],[Hora fin ]]-Tabla1[[#This Row],[Hora inicio]],"")</f>
        <v/>
      </c>
      <c r="N201" t="str">
        <f>IF(Tabla1[[#This Row],[Cantidad producida]]&gt;Tabla1[[#This Row],[Cantidad teórica]],"SI","")</f>
        <v/>
      </c>
    </row>
    <row r="202" spans="1:14" x14ac:dyDescent="0.25">
      <c r="A202" s="2">
        <v>45834</v>
      </c>
      <c r="B202" s="3">
        <v>0.31944444444444442</v>
      </c>
      <c r="C202" s="3">
        <v>0.34722222222222221</v>
      </c>
      <c r="D202" s="19" t="str">
        <f>+IF(Tabla1[[#This Row],[Hora inicio]]&lt;$B$1,"Mañana","Tarde")</f>
        <v>Mañana</v>
      </c>
      <c r="E202" t="s">
        <v>124</v>
      </c>
      <c r="F202" s="19" t="str">
        <f>IF(Tabla1[[#This Row],[P/LC/CF/CL]]="P",Tabla1[[#This Row],[Hora fin ]]-Tabla1[[#This Row],[Hora inicio]],"")</f>
        <v/>
      </c>
      <c r="G202" s="19">
        <f>Tabla1[[#This Row],[Hora fin ]]-Tabla1[[#This Row],[Hora inicio]]</f>
        <v>2.777777777777779E-2</v>
      </c>
      <c r="H202" s="16">
        <f>WEEKNUM(Tabla1[[#This Row],[Día]])</f>
        <v>26</v>
      </c>
      <c r="J202" s="16" t="str">
        <f>IFERROR(((HOUR(Tabla1[[#This Row],[Tiempo producción]])*60+MINUTE(Tabla1[[#This Row],[Tiempo producción]]))/60)*$J$1,"")</f>
        <v/>
      </c>
      <c r="K202" s="21" t="str">
        <f>IFERROR(Tabla1[[#This Row],[Cantidad producida]]/Tabla1[[#This Row],[Cantidad teórica]],"")</f>
        <v/>
      </c>
      <c r="L202" s="3"/>
      <c r="M202" s="23">
        <f>IF(Tabla1[[#This Row],[P/LC/CF/CL]]&lt;&gt;"P",Tabla1[[#This Row],[Hora fin ]]-Tabla1[[#This Row],[Hora inicio]],"")</f>
        <v>2.777777777777779E-2</v>
      </c>
      <c r="N202" t="str">
        <f>IF(Tabla1[[#This Row],[Cantidad producida]]&gt;Tabla1[[#This Row],[Cantidad teórica]],"SI","")</f>
        <v/>
      </c>
    </row>
    <row r="203" spans="1:14" x14ac:dyDescent="0.25">
      <c r="A203" s="2">
        <v>45834</v>
      </c>
      <c r="B203" s="3">
        <v>0.34722222222222221</v>
      </c>
      <c r="C203" s="3">
        <v>0.5625</v>
      </c>
      <c r="D203" s="19" t="str">
        <f>+IF(Tabla1[[#This Row],[Hora inicio]]&lt;$B$1,"Mañana","Tarde")</f>
        <v>Mañana</v>
      </c>
      <c r="E203" t="s">
        <v>134</v>
      </c>
      <c r="F203" s="19">
        <f>IF(Tabla1[[#This Row],[P/LC/CF/CL]]="P",Tabla1[[#This Row],[Hora fin ]]-Tabla1[[#This Row],[Hora inicio]],"")</f>
        <v>0.21527777777777779</v>
      </c>
      <c r="G203" s="19">
        <f>Tabla1[[#This Row],[Hora fin ]]-Tabla1[[#This Row],[Hora inicio]]</f>
        <v>0.21527777777777779</v>
      </c>
      <c r="H203" s="16">
        <f>WEEKNUM(Tabla1[[#This Row],[Día]])</f>
        <v>26</v>
      </c>
      <c r="I203" s="8">
        <v>4140</v>
      </c>
      <c r="J203" s="16">
        <f>IFERROR(((HOUR(Tabla1[[#This Row],[Tiempo producción]])*60+MINUTE(Tabla1[[#This Row],[Tiempo producción]]))/60)*$J$1,"")</f>
        <v>9300</v>
      </c>
      <c r="K203" s="21">
        <f>IFERROR(Tabla1[[#This Row],[Cantidad producida]]/Tabla1[[#This Row],[Cantidad teórica]],"")</f>
        <v>0.44516129032258067</v>
      </c>
      <c r="L203" s="3"/>
      <c r="M203" s="23" t="str">
        <f>IF(Tabla1[[#This Row],[P/LC/CF/CL]]&lt;&gt;"P",Tabla1[[#This Row],[Hora fin ]]-Tabla1[[#This Row],[Hora inicio]],"")</f>
        <v/>
      </c>
      <c r="N203" t="str">
        <f>IF(Tabla1[[#This Row],[Cantidad producida]]&gt;Tabla1[[#This Row],[Cantidad teórica]],"SI","")</f>
        <v/>
      </c>
    </row>
    <row r="204" spans="1:14" x14ac:dyDescent="0.25">
      <c r="A204" s="2">
        <v>45834</v>
      </c>
      <c r="B204" s="3">
        <v>0.59375</v>
      </c>
      <c r="C204" s="3">
        <v>0.85069444444444442</v>
      </c>
      <c r="D204" s="19" t="str">
        <f>+IF(Tabla1[[#This Row],[Hora inicio]]&lt;$B$1,"Mañana","Tarde")</f>
        <v>Tarde</v>
      </c>
      <c r="E204" t="s">
        <v>134</v>
      </c>
      <c r="F204" s="19">
        <f>IF(Tabla1[[#This Row],[P/LC/CF/CL]]="P",Tabla1[[#This Row],[Hora fin ]]-Tabla1[[#This Row],[Hora inicio]],"")</f>
        <v>0.25694444444444442</v>
      </c>
      <c r="G204" s="19">
        <f>Tabla1[[#This Row],[Hora fin ]]-Tabla1[[#This Row],[Hora inicio]]</f>
        <v>0.25694444444444442</v>
      </c>
      <c r="H204" s="16">
        <f>WEEKNUM(Tabla1[[#This Row],[Día]])</f>
        <v>26</v>
      </c>
      <c r="I204" s="8">
        <v>5760</v>
      </c>
      <c r="J204" s="16">
        <f>IFERROR(((HOUR(Tabla1[[#This Row],[Tiempo producción]])*60+MINUTE(Tabla1[[#This Row],[Tiempo producción]]))/60)*$J$1,"")</f>
        <v>11100</v>
      </c>
      <c r="K204" s="21">
        <f>IFERROR(Tabla1[[#This Row],[Cantidad producida]]/Tabla1[[#This Row],[Cantidad teórica]],"")</f>
        <v>0.51891891891891895</v>
      </c>
      <c r="L204" s="3" t="s">
        <v>140</v>
      </c>
      <c r="M204" s="23" t="str">
        <f>IF(Tabla1[[#This Row],[P/LC/CF/CL]]&lt;&gt;"P",Tabla1[[#This Row],[Hora fin ]]-Tabla1[[#This Row],[Hora inicio]],"")</f>
        <v/>
      </c>
      <c r="N204" t="str">
        <f>IF(Tabla1[[#This Row],[Cantidad producida]]&gt;Tabla1[[#This Row],[Cantidad teórica]],"SI","")</f>
        <v/>
      </c>
    </row>
    <row r="205" spans="1:14" x14ac:dyDescent="0.25">
      <c r="A205" s="2">
        <v>45835</v>
      </c>
      <c r="B205" s="3">
        <v>0.29166666666666669</v>
      </c>
      <c r="C205" s="3">
        <v>0.30555555555555558</v>
      </c>
      <c r="D205" s="19" t="str">
        <f>+IF(Tabla1[[#This Row],[Hora inicio]]&lt;$B$1,"Mañana","Tarde")</f>
        <v>Mañana</v>
      </c>
      <c r="E205" t="s">
        <v>124</v>
      </c>
      <c r="F205" s="19" t="str">
        <f>IF(Tabla1[[#This Row],[P/LC/CF/CL]]="P",Tabla1[[#This Row],[Hora fin ]]-Tabla1[[#This Row],[Hora inicio]],"")</f>
        <v/>
      </c>
      <c r="G205" s="19">
        <f>Tabla1[[#This Row],[Hora fin ]]-Tabla1[[#This Row],[Hora inicio]]</f>
        <v>1.3888888888888895E-2</v>
      </c>
      <c r="H205" s="16">
        <f>WEEKNUM(Tabla1[[#This Row],[Día]])</f>
        <v>26</v>
      </c>
      <c r="J205" s="16" t="str">
        <f>IFERROR(((HOUR(Tabla1[[#This Row],[Tiempo producción]])*60+MINUTE(Tabla1[[#This Row],[Tiempo producción]]))/60)*$J$1,"")</f>
        <v/>
      </c>
      <c r="K205" s="21" t="str">
        <f>IFERROR(Tabla1[[#This Row],[Cantidad producida]]/Tabla1[[#This Row],[Cantidad teórica]],"")</f>
        <v/>
      </c>
      <c r="L205" s="3"/>
      <c r="M205" s="23">
        <f>IF(Tabla1[[#This Row],[P/LC/CF/CL]]&lt;&gt;"P",Tabla1[[#This Row],[Hora fin ]]-Tabla1[[#This Row],[Hora inicio]],"")</f>
        <v>1.3888888888888895E-2</v>
      </c>
      <c r="N205" t="str">
        <f>IF(Tabla1[[#This Row],[Cantidad producida]]&gt;Tabla1[[#This Row],[Cantidad teórica]],"SI","")</f>
        <v/>
      </c>
    </row>
    <row r="206" spans="1:14" x14ac:dyDescent="0.25">
      <c r="A206" s="2">
        <v>45835</v>
      </c>
      <c r="B206" s="3">
        <v>0.30555555555555558</v>
      </c>
      <c r="C206" s="3">
        <v>0.5625</v>
      </c>
      <c r="D206" s="19" t="str">
        <f>+IF(Tabla1[[#This Row],[Hora inicio]]&lt;$B$1,"Mañana","Tarde")</f>
        <v>Mañana</v>
      </c>
      <c r="E206" t="s">
        <v>134</v>
      </c>
      <c r="F206" s="19">
        <f>IF(Tabla1[[#This Row],[P/LC/CF/CL]]="P",Tabla1[[#This Row],[Hora fin ]]-Tabla1[[#This Row],[Hora inicio]],"")</f>
        <v>0.25694444444444442</v>
      </c>
      <c r="G206" s="19">
        <f>Tabla1[[#This Row],[Hora fin ]]-Tabla1[[#This Row],[Hora inicio]]</f>
        <v>0.25694444444444442</v>
      </c>
      <c r="H206" s="16">
        <f>WEEKNUM(Tabla1[[#This Row],[Día]])</f>
        <v>26</v>
      </c>
      <c r="I206" s="8">
        <v>4864</v>
      </c>
      <c r="J206" s="16">
        <f>IFERROR(((HOUR(Tabla1[[#This Row],[Tiempo producción]])*60+MINUTE(Tabla1[[#This Row],[Tiempo producción]]))/60)*$J$1,"")</f>
        <v>11100</v>
      </c>
      <c r="K206" s="21">
        <f>IFERROR(Tabla1[[#This Row],[Cantidad producida]]/Tabla1[[#This Row],[Cantidad teórica]],"")</f>
        <v>0.43819819819819822</v>
      </c>
      <c r="L206" s="3" t="s">
        <v>141</v>
      </c>
      <c r="M206" s="23" t="str">
        <f>IF(Tabla1[[#This Row],[P/LC/CF/CL]]&lt;&gt;"P",Tabla1[[#This Row],[Hora fin ]]-Tabla1[[#This Row],[Hora inicio]],"")</f>
        <v/>
      </c>
      <c r="N206" t="str">
        <f>IF(Tabla1[[#This Row],[Cantidad producida]]&gt;Tabla1[[#This Row],[Cantidad teórica]],"SI","")</f>
        <v/>
      </c>
    </row>
    <row r="207" spans="1:14" x14ac:dyDescent="0.25">
      <c r="A207" s="2">
        <v>45835</v>
      </c>
      <c r="B207" s="3">
        <v>0.59027777777777779</v>
      </c>
      <c r="C207" s="3">
        <v>0.75</v>
      </c>
      <c r="D207" s="19" t="str">
        <f>+IF(Tabla1[[#This Row],[Hora inicio]]&lt;$B$1,"Mañana","Tarde")</f>
        <v>Tarde</v>
      </c>
      <c r="E207" t="s">
        <v>134</v>
      </c>
      <c r="F207" s="19">
        <f>IF(Tabla1[[#This Row],[P/LC/CF/CL]]="P",Tabla1[[#This Row],[Hora fin ]]-Tabla1[[#This Row],[Hora inicio]],"")</f>
        <v>0.15972222222222221</v>
      </c>
      <c r="G207" s="19">
        <f>Tabla1[[#This Row],[Hora fin ]]-Tabla1[[#This Row],[Hora inicio]]</f>
        <v>0.15972222222222221</v>
      </c>
      <c r="H207" s="16">
        <f>WEEKNUM(Tabla1[[#This Row],[Día]])</f>
        <v>26</v>
      </c>
      <c r="I207" s="8">
        <v>6192</v>
      </c>
      <c r="J207" s="16">
        <f>IFERROR(((HOUR(Tabla1[[#This Row],[Tiempo producción]])*60+MINUTE(Tabla1[[#This Row],[Tiempo producción]]))/60)*$J$1,"")</f>
        <v>6900</v>
      </c>
      <c r="K207" s="21">
        <f>IFERROR(Tabla1[[#This Row],[Cantidad producida]]/Tabla1[[#This Row],[Cantidad teórica]],"")</f>
        <v>0.8973913043478261</v>
      </c>
      <c r="L207" s="3"/>
      <c r="M207" s="23" t="str">
        <f>IF(Tabla1[[#This Row],[P/LC/CF/CL]]&lt;&gt;"P",Tabla1[[#This Row],[Hora fin ]]-Tabla1[[#This Row],[Hora inicio]],"")</f>
        <v/>
      </c>
      <c r="N207" t="str">
        <f>IF(Tabla1[[#This Row],[Cantidad producida]]&gt;Tabla1[[#This Row],[Cantidad teórica]],"SI","")</f>
        <v/>
      </c>
    </row>
    <row r="208" spans="1:14" x14ac:dyDescent="0.25">
      <c r="A208" s="2">
        <v>45835</v>
      </c>
      <c r="B208" s="3">
        <v>0.78125</v>
      </c>
      <c r="C208" s="3">
        <v>0.8125</v>
      </c>
      <c r="D208" s="19" t="str">
        <f>+IF(Tabla1[[#This Row],[Hora inicio]]&lt;$B$1,"Mañana","Tarde")</f>
        <v>Tarde</v>
      </c>
      <c r="E208" t="s">
        <v>124</v>
      </c>
      <c r="F208" s="19" t="str">
        <f>IF(Tabla1[[#This Row],[P/LC/CF/CL]]="P",Tabla1[[#This Row],[Hora fin ]]-Tabla1[[#This Row],[Hora inicio]],"")</f>
        <v/>
      </c>
      <c r="G208" s="19">
        <f>Tabla1[[#This Row],[Hora fin ]]-Tabla1[[#This Row],[Hora inicio]]</f>
        <v>3.125E-2</v>
      </c>
      <c r="H208" s="16">
        <f>WEEKNUM(Tabla1[[#This Row],[Día]])</f>
        <v>26</v>
      </c>
      <c r="J208" s="16" t="str">
        <f>IFERROR(((HOUR(Tabla1[[#This Row],[Tiempo producción]])*60+MINUTE(Tabla1[[#This Row],[Tiempo producción]]))/60)*$J$1,"")</f>
        <v/>
      </c>
      <c r="K208" s="21" t="str">
        <f>IFERROR(Tabla1[[#This Row],[Cantidad producida]]/Tabla1[[#This Row],[Cantidad teórica]],"")</f>
        <v/>
      </c>
      <c r="L208" s="3"/>
      <c r="M208" s="23">
        <f>IF(Tabla1[[#This Row],[P/LC/CF/CL]]&lt;&gt;"P",Tabla1[[#This Row],[Hora fin ]]-Tabla1[[#This Row],[Hora inicio]],"")</f>
        <v>3.125E-2</v>
      </c>
      <c r="N208" t="str">
        <f>IF(Tabla1[[#This Row],[Cantidad producida]]&gt;Tabla1[[#This Row],[Cantidad teórica]],"SI","")</f>
        <v/>
      </c>
    </row>
    <row r="209" spans="1:14" x14ac:dyDescent="0.25">
      <c r="A209" s="2">
        <v>45835</v>
      </c>
      <c r="B209" s="3">
        <v>0.8125</v>
      </c>
      <c r="C209" s="3">
        <v>0.88888888888888884</v>
      </c>
      <c r="D209" s="19" t="str">
        <f>+IF(Tabla1[[#This Row],[Hora inicio]]&lt;$B$1,"Mañana","Tarde")</f>
        <v>Tarde</v>
      </c>
      <c r="E209" t="s">
        <v>134</v>
      </c>
      <c r="F209" s="19">
        <f>IF(Tabla1[[#This Row],[P/LC/CF/CL]]="P",Tabla1[[#This Row],[Hora fin ]]-Tabla1[[#This Row],[Hora inicio]],"")</f>
        <v>7.638888888888884E-2</v>
      </c>
      <c r="G209" s="19">
        <f>Tabla1[[#This Row],[Hora fin ]]-Tabla1[[#This Row],[Hora inicio]]</f>
        <v>7.638888888888884E-2</v>
      </c>
      <c r="H209" s="16">
        <f>WEEKNUM(Tabla1[[#This Row],[Día]])</f>
        <v>26</v>
      </c>
      <c r="I209" s="8">
        <v>2142</v>
      </c>
      <c r="J209" s="16">
        <f>IFERROR(((HOUR(Tabla1[[#This Row],[Tiempo producción]])*60+MINUTE(Tabla1[[#This Row],[Tiempo producción]]))/60)*$J$1,"")</f>
        <v>3300</v>
      </c>
      <c r="K209" s="21">
        <f>IFERROR(Tabla1[[#This Row],[Cantidad producida]]/Tabla1[[#This Row],[Cantidad teórica]],"")</f>
        <v>0.64909090909090905</v>
      </c>
      <c r="L209" s="3"/>
      <c r="M209" s="23" t="str">
        <f>IF(Tabla1[[#This Row],[P/LC/CF/CL]]&lt;&gt;"P",Tabla1[[#This Row],[Hora fin ]]-Tabla1[[#This Row],[Hora inicio]],"")</f>
        <v/>
      </c>
      <c r="N209" t="str">
        <f>IF(Tabla1[[#This Row],[Cantidad producida]]&gt;Tabla1[[#This Row],[Cantidad teórica]],"SI","")</f>
        <v/>
      </c>
    </row>
    <row r="210" spans="1:14" x14ac:dyDescent="0.25">
      <c r="A210" s="2">
        <v>45838</v>
      </c>
      <c r="B210" s="3">
        <v>0.28819444444444442</v>
      </c>
      <c r="C210" s="3">
        <v>0.52083333333333337</v>
      </c>
      <c r="D210" s="19" t="str">
        <f>+IF(Tabla1[[#This Row],[Hora inicio]]&lt;$B$1,"Mañana","Tarde")</f>
        <v>Mañana</v>
      </c>
      <c r="E210" t="s">
        <v>134</v>
      </c>
      <c r="F210" s="19">
        <f>IF(Tabla1[[#This Row],[P/LC/CF/CL]]="P",Tabla1[[#This Row],[Hora fin ]]-Tabla1[[#This Row],[Hora inicio]],"")</f>
        <v>0.23263888888888895</v>
      </c>
      <c r="G210" s="19">
        <f>Tabla1[[#This Row],[Hora fin ]]-Tabla1[[#This Row],[Hora inicio]]</f>
        <v>0.23263888888888895</v>
      </c>
      <c r="H210" s="16">
        <f>WEEKNUM(Tabla1[[#This Row],[Día]])</f>
        <v>27</v>
      </c>
      <c r="J210" s="16">
        <f>IFERROR(((HOUR(Tabla1[[#This Row],[Tiempo producción]])*60+MINUTE(Tabla1[[#This Row],[Tiempo producción]]))/60)*$J$1,"")</f>
        <v>10050</v>
      </c>
      <c r="K210" s="21">
        <f>IFERROR(Tabla1[[#This Row],[Cantidad producida]]/Tabla1[[#This Row],[Cantidad teórica]],"")</f>
        <v>0</v>
      </c>
      <c r="L210" s="3"/>
      <c r="M210" s="23" t="str">
        <f>IF(Tabla1[[#This Row],[P/LC/CF/CL]]&lt;&gt;"P",Tabla1[[#This Row],[Hora fin ]]-Tabla1[[#This Row],[Hora inicio]],"")</f>
        <v/>
      </c>
      <c r="N210" t="str">
        <f>IF(Tabla1[[#This Row],[Cantidad producida]]&gt;Tabla1[[#This Row],[Cantidad teórica]],"SI","")</f>
        <v/>
      </c>
    </row>
    <row r="211" spans="1:14" x14ac:dyDescent="0.25">
      <c r="A211" s="2">
        <v>45838</v>
      </c>
      <c r="B211" s="3">
        <v>0.52083333333333337</v>
      </c>
      <c r="C211" s="3">
        <v>0.54166666666666663</v>
      </c>
      <c r="D211" s="19" t="str">
        <f>+IF(Tabla1[[#This Row],[Hora inicio]]&lt;$B$1,"Mañana","Tarde")</f>
        <v>Mañana</v>
      </c>
      <c r="E211" t="s">
        <v>122</v>
      </c>
      <c r="F211" s="19" t="str">
        <f>IF(Tabla1[[#This Row],[P/LC/CF/CL]]="P",Tabla1[[#This Row],[Hora fin ]]-Tabla1[[#This Row],[Hora inicio]],"")</f>
        <v/>
      </c>
      <c r="G211" s="19">
        <f>Tabla1[[#This Row],[Hora fin ]]-Tabla1[[#This Row],[Hora inicio]]</f>
        <v>2.0833333333333259E-2</v>
      </c>
      <c r="H211" s="16">
        <f>WEEKNUM(Tabla1[[#This Row],[Día]])</f>
        <v>27</v>
      </c>
      <c r="J211" s="16" t="str">
        <f>IFERROR(((HOUR(Tabla1[[#This Row],[Tiempo producción]])*60+MINUTE(Tabla1[[#This Row],[Tiempo producción]]))/60)*$J$1,"")</f>
        <v/>
      </c>
      <c r="K211" s="21" t="str">
        <f>IFERROR(Tabla1[[#This Row],[Cantidad producida]]/Tabla1[[#This Row],[Cantidad teórica]],"")</f>
        <v/>
      </c>
      <c r="L211" s="3" t="s">
        <v>142</v>
      </c>
      <c r="M211" s="23">
        <f>IF(Tabla1[[#This Row],[P/LC/CF/CL]]&lt;&gt;"P",Tabla1[[#This Row],[Hora fin ]]-Tabla1[[#This Row],[Hora inicio]],"")</f>
        <v>2.0833333333333259E-2</v>
      </c>
      <c r="N211" t="str">
        <f>IF(Tabla1[[#This Row],[Cantidad producida]]&gt;Tabla1[[#This Row],[Cantidad teórica]],"SI","")</f>
        <v/>
      </c>
    </row>
    <row r="212" spans="1:14" x14ac:dyDescent="0.25">
      <c r="A212" s="2">
        <v>45838</v>
      </c>
      <c r="B212" s="3">
        <v>0.28819444444444442</v>
      </c>
      <c r="C212" s="3">
        <v>0.52083333333333337</v>
      </c>
      <c r="D212" s="19" t="str">
        <f>+IF(Tabla1[[#This Row],[Hora inicio]]&lt;$B$1,"Mañana","Tarde")</f>
        <v>Mañana</v>
      </c>
      <c r="E212" t="s">
        <v>134</v>
      </c>
      <c r="F212" s="19">
        <f>IF(Tabla1[[#This Row],[P/LC/CF/CL]]="P",Tabla1[[#This Row],[Hora fin ]]-Tabla1[[#This Row],[Hora inicio]],"")</f>
        <v>0.23263888888888895</v>
      </c>
      <c r="G212" s="19">
        <f>Tabla1[[#This Row],[Hora fin ]]-Tabla1[[#This Row],[Hora inicio]]</f>
        <v>0.23263888888888895</v>
      </c>
      <c r="H212" s="16">
        <f>WEEKNUM(Tabla1[[#This Row],[Día]])</f>
        <v>27</v>
      </c>
      <c r="I212" s="8">
        <v>5918</v>
      </c>
      <c r="J212" s="16">
        <f>IFERROR(((HOUR(Tabla1[[#This Row],[Tiempo producción]])*60+MINUTE(Tabla1[[#This Row],[Tiempo producción]]))/60)*$J$1,"")</f>
        <v>10050</v>
      </c>
      <c r="K212" s="21">
        <f>IFERROR(Tabla1[[#This Row],[Cantidad producida]]/Tabla1[[#This Row],[Cantidad teórica]],"")</f>
        <v>0.58885572139303488</v>
      </c>
      <c r="L212" s="3"/>
      <c r="M212" s="23" t="str">
        <f>IF(Tabla1[[#This Row],[P/LC/CF/CL]]&lt;&gt;"P",Tabla1[[#This Row],[Hora fin ]]-Tabla1[[#This Row],[Hora inicio]],"")</f>
        <v/>
      </c>
      <c r="N212" t="str">
        <f>IF(Tabla1[[#This Row],[Cantidad producida]]&gt;Tabla1[[#This Row],[Cantidad teórica]],"SI","")</f>
        <v/>
      </c>
    </row>
    <row r="213" spans="1:14" x14ac:dyDescent="0.25">
      <c r="A213" s="2">
        <v>45838</v>
      </c>
      <c r="B213" s="3">
        <v>0.59027777777777779</v>
      </c>
      <c r="C213" s="3">
        <v>0.67708333333333337</v>
      </c>
      <c r="D213" s="19" t="str">
        <f>+IF(Tabla1[[#This Row],[Hora inicio]]&lt;$B$1,"Mañana","Tarde")</f>
        <v>Tarde</v>
      </c>
      <c r="E213" t="s">
        <v>134</v>
      </c>
      <c r="F213" s="19">
        <f>IF(Tabla1[[#This Row],[P/LC/CF/CL]]="P",Tabla1[[#This Row],[Hora fin ]]-Tabla1[[#This Row],[Hora inicio]],"")</f>
        <v>8.680555555555558E-2</v>
      </c>
      <c r="G213" s="19">
        <f>Tabla1[[#This Row],[Hora fin ]]-Tabla1[[#This Row],[Hora inicio]]</f>
        <v>8.680555555555558E-2</v>
      </c>
      <c r="H213" s="16">
        <f>WEEKNUM(Tabla1[[#This Row],[Día]])</f>
        <v>27</v>
      </c>
      <c r="I213" s="8">
        <v>1998</v>
      </c>
      <c r="J213" s="16">
        <f>IFERROR(((HOUR(Tabla1[[#This Row],[Tiempo producción]])*60+MINUTE(Tabla1[[#This Row],[Tiempo producción]]))/60)*$J$1,"")</f>
        <v>3750.0000000000005</v>
      </c>
      <c r="K213" s="21">
        <f>IFERROR(Tabla1[[#This Row],[Cantidad producida]]/Tabla1[[#This Row],[Cantidad teórica]],"")</f>
        <v>0.53279999999999994</v>
      </c>
      <c r="L213" s="3" t="s">
        <v>143</v>
      </c>
      <c r="M213" s="23" t="str">
        <f>IF(Tabla1[[#This Row],[P/LC/CF/CL]]&lt;&gt;"P",Tabla1[[#This Row],[Hora fin ]]-Tabla1[[#This Row],[Hora inicio]],"")</f>
        <v/>
      </c>
      <c r="N213" t="str">
        <f>IF(Tabla1[[#This Row],[Cantidad producida]]&gt;Tabla1[[#This Row],[Cantidad teórica]],"SI","")</f>
        <v/>
      </c>
    </row>
    <row r="214" spans="1:14" ht="30" x14ac:dyDescent="0.25">
      <c r="A214" s="2">
        <v>45839</v>
      </c>
      <c r="B214" s="3">
        <v>0.47569444444444442</v>
      </c>
      <c r="C214" s="3">
        <v>0.49305555555555558</v>
      </c>
      <c r="D214" s="19" t="str">
        <f>+IF(Tabla1[[#This Row],[Hora inicio]]&lt;$B$1,"Mañana","Tarde")</f>
        <v>Mañana</v>
      </c>
      <c r="E214" t="s">
        <v>134</v>
      </c>
      <c r="F214" s="19">
        <f>IF(Tabla1[[#This Row],[P/LC/CF/CL]]="P",Tabla1[[#This Row],[Hora fin ]]-Tabla1[[#This Row],[Hora inicio]],"")</f>
        <v>1.736111111111116E-2</v>
      </c>
      <c r="G214" s="19">
        <f>Tabla1[[#This Row],[Hora fin ]]-Tabla1[[#This Row],[Hora inicio]]</f>
        <v>1.736111111111116E-2</v>
      </c>
      <c r="H214" s="16">
        <f>WEEKNUM(Tabla1[[#This Row],[Día]])</f>
        <v>27</v>
      </c>
      <c r="I214" s="8">
        <v>650</v>
      </c>
      <c r="J214" s="16">
        <f>IFERROR(((HOUR(Tabla1[[#This Row],[Tiempo producción]])*60+MINUTE(Tabla1[[#This Row],[Tiempo producción]]))/60)*$J$1,"")</f>
        <v>750</v>
      </c>
      <c r="K214" s="21">
        <f>IFERROR(Tabla1[[#This Row],[Cantidad producida]]/Tabla1[[#This Row],[Cantidad teórica]],"")</f>
        <v>0.8666666666666667</v>
      </c>
      <c r="L214" s="28" t="s">
        <v>144</v>
      </c>
      <c r="M214" s="23" t="str">
        <f>IF(Tabla1[[#This Row],[P/LC/CF/CL]]&lt;&gt;"P",Tabla1[[#This Row],[Hora fin ]]-Tabla1[[#This Row],[Hora inicio]],"")</f>
        <v/>
      </c>
      <c r="N214" t="str">
        <f>IF(Tabla1[[#This Row],[Cantidad producida]]&gt;Tabla1[[#This Row],[Cantidad teórica]],"SI","")</f>
        <v/>
      </c>
    </row>
    <row r="215" spans="1:14" x14ac:dyDescent="0.25">
      <c r="A215" s="2">
        <v>45839</v>
      </c>
      <c r="B215" s="3">
        <v>0.52777777777777779</v>
      </c>
      <c r="C215" s="3">
        <v>0.53472222222222221</v>
      </c>
      <c r="D215" s="19" t="str">
        <f>+IF(Tabla1[[#This Row],[Hora inicio]]&lt;$B$1,"Mañana","Tarde")</f>
        <v>Mañana</v>
      </c>
      <c r="E215" t="s">
        <v>124</v>
      </c>
      <c r="F215" s="19" t="str">
        <f>IF(Tabla1[[#This Row],[P/LC/CF/CL]]="P",Tabla1[[#This Row],[Hora fin ]]-Tabla1[[#This Row],[Hora inicio]],"")</f>
        <v/>
      </c>
      <c r="G215" s="19">
        <f>Tabla1[[#This Row],[Hora fin ]]-Tabla1[[#This Row],[Hora inicio]]</f>
        <v>6.9444444444444198E-3</v>
      </c>
      <c r="H215" s="16">
        <f>WEEKNUM(Tabla1[[#This Row],[Día]])</f>
        <v>27</v>
      </c>
      <c r="J215" s="16" t="str">
        <f>IFERROR(((HOUR(Tabla1[[#This Row],[Tiempo producción]])*60+MINUTE(Tabla1[[#This Row],[Tiempo producción]]))/60)*$J$1,"")</f>
        <v/>
      </c>
      <c r="K215" s="21" t="str">
        <f>IFERROR(Tabla1[[#This Row],[Cantidad producida]]/Tabla1[[#This Row],[Cantidad teórica]],"")</f>
        <v/>
      </c>
      <c r="L215" s="3"/>
      <c r="M215" s="23">
        <f>IF(Tabla1[[#This Row],[P/LC/CF/CL]]&lt;&gt;"P",Tabla1[[#This Row],[Hora fin ]]-Tabla1[[#This Row],[Hora inicio]],"")</f>
        <v>6.9444444444444198E-3</v>
      </c>
      <c r="N215" t="str">
        <f>IF(Tabla1[[#This Row],[Cantidad producida]]&gt;Tabla1[[#This Row],[Cantidad teórica]],"SI","")</f>
        <v/>
      </c>
    </row>
    <row r="216" spans="1:14" x14ac:dyDescent="0.25">
      <c r="A216" s="2">
        <v>45839</v>
      </c>
      <c r="B216" s="3">
        <v>0.53472222222222221</v>
      </c>
      <c r="C216" s="3">
        <v>0.5625</v>
      </c>
      <c r="D216" s="19" t="str">
        <f>+IF(Tabla1[[#This Row],[Hora inicio]]&lt;$B$1,"Mañana","Tarde")</f>
        <v>Mañana</v>
      </c>
      <c r="E216" t="s">
        <v>134</v>
      </c>
      <c r="F216" s="19">
        <f>IF(Tabla1[[#This Row],[P/LC/CF/CL]]="P",Tabla1[[#This Row],[Hora fin ]]-Tabla1[[#This Row],[Hora inicio]],"")</f>
        <v>2.777777777777779E-2</v>
      </c>
      <c r="G216" s="19">
        <f>Tabla1[[#This Row],[Hora fin ]]-Tabla1[[#This Row],[Hora inicio]]</f>
        <v>2.777777777777779E-2</v>
      </c>
      <c r="H216" s="16">
        <f>WEEKNUM(Tabla1[[#This Row],[Día]])</f>
        <v>27</v>
      </c>
      <c r="I216" s="8">
        <v>576</v>
      </c>
      <c r="J216" s="16">
        <f>IFERROR(((HOUR(Tabla1[[#This Row],[Tiempo producción]])*60+MINUTE(Tabla1[[#This Row],[Tiempo producción]]))/60)*$J$1,"")</f>
        <v>1200</v>
      </c>
      <c r="K216" s="21">
        <f>IFERROR(Tabla1[[#This Row],[Cantidad producida]]/Tabla1[[#This Row],[Cantidad teórica]],"")</f>
        <v>0.48</v>
      </c>
      <c r="L216" s="3"/>
      <c r="M216" s="23" t="str">
        <f>IF(Tabla1[[#This Row],[P/LC/CF/CL]]&lt;&gt;"P",Tabla1[[#This Row],[Hora fin ]]-Tabla1[[#This Row],[Hora inicio]],"")</f>
        <v/>
      </c>
      <c r="N216" t="str">
        <f>IF(Tabla1[[#This Row],[Cantidad producida]]&gt;Tabla1[[#This Row],[Cantidad teórica]],"SI","")</f>
        <v/>
      </c>
    </row>
    <row r="217" spans="1:14" x14ac:dyDescent="0.25">
      <c r="A217" s="2">
        <v>45839</v>
      </c>
      <c r="B217" s="3">
        <v>0.59027777777777779</v>
      </c>
      <c r="C217" s="3">
        <v>0.89583333333333337</v>
      </c>
      <c r="D217" s="19" t="str">
        <f>+IF(Tabla1[[#This Row],[Hora inicio]]&lt;$B$1,"Mañana","Tarde")</f>
        <v>Tarde</v>
      </c>
      <c r="E217" t="s">
        <v>134</v>
      </c>
      <c r="F217" s="19">
        <f>IF(Tabla1[[#This Row],[P/LC/CF/CL]]="P",Tabla1[[#This Row],[Hora fin ]]-Tabla1[[#This Row],[Hora inicio]],"")</f>
        <v>0.30555555555555558</v>
      </c>
      <c r="G217" s="19">
        <f>Tabla1[[#This Row],[Hora fin ]]-Tabla1[[#This Row],[Hora inicio]]</f>
        <v>0.30555555555555558</v>
      </c>
      <c r="H217" s="16">
        <f>WEEKNUM(Tabla1[[#This Row],[Día]])</f>
        <v>27</v>
      </c>
      <c r="I217" s="8">
        <v>9486</v>
      </c>
      <c r="J217" s="16">
        <f>IFERROR(((HOUR(Tabla1[[#This Row],[Tiempo producción]])*60+MINUTE(Tabla1[[#This Row],[Tiempo producción]]))/60)*$J$1,"")</f>
        <v>13200</v>
      </c>
      <c r="K217" s="21">
        <f>IFERROR(Tabla1[[#This Row],[Cantidad producida]]/Tabla1[[#This Row],[Cantidad teórica]],"")</f>
        <v>0.71863636363636363</v>
      </c>
      <c r="L217" s="3"/>
      <c r="M217" s="23" t="str">
        <f>IF(Tabla1[[#This Row],[P/LC/CF/CL]]&lt;&gt;"P",Tabla1[[#This Row],[Hora fin ]]-Tabla1[[#This Row],[Hora inicio]],"")</f>
        <v/>
      </c>
      <c r="N217" t="str">
        <f>IF(Tabla1[[#This Row],[Cantidad producida]]&gt;Tabla1[[#This Row],[Cantidad teórica]],"SI","")</f>
        <v/>
      </c>
    </row>
    <row r="218" spans="1:14" x14ac:dyDescent="0.25">
      <c r="A218" s="2">
        <v>45840</v>
      </c>
      <c r="B218" s="3">
        <v>0.27777777777777779</v>
      </c>
      <c r="C218" s="3">
        <v>0.30208333333333331</v>
      </c>
      <c r="D218" s="19" t="str">
        <f>+IF(Tabla1[[#This Row],[Hora inicio]]&lt;$B$1,"Mañana","Tarde")</f>
        <v>Mañana</v>
      </c>
      <c r="E218" t="s">
        <v>134</v>
      </c>
      <c r="F218" s="19">
        <f>IF(Tabla1[[#This Row],[P/LC/CF/CL]]="P",Tabla1[[#This Row],[Hora fin ]]-Tabla1[[#This Row],[Hora inicio]],"")</f>
        <v>2.4305555555555525E-2</v>
      </c>
      <c r="G218" s="19">
        <f>Tabla1[[#This Row],[Hora fin ]]-Tabla1[[#This Row],[Hora inicio]]</f>
        <v>2.4305555555555525E-2</v>
      </c>
      <c r="H218" s="16">
        <f>WEEKNUM(Tabla1[[#This Row],[Día]])</f>
        <v>27</v>
      </c>
      <c r="I218" s="8">
        <v>426</v>
      </c>
      <c r="J218" s="16">
        <f>IFERROR(((HOUR(Tabla1[[#This Row],[Tiempo producción]])*60+MINUTE(Tabla1[[#This Row],[Tiempo producción]]))/60)*$J$1,"")</f>
        <v>1050</v>
      </c>
      <c r="K218" s="21">
        <f>IFERROR(Tabla1[[#This Row],[Cantidad producida]]/Tabla1[[#This Row],[Cantidad teórica]],"")</f>
        <v>0.40571428571428569</v>
      </c>
      <c r="L218" s="3"/>
      <c r="M218" s="23" t="str">
        <f>IF(Tabla1[[#This Row],[P/LC/CF/CL]]&lt;&gt;"P",Tabla1[[#This Row],[Hora fin ]]-Tabla1[[#This Row],[Hora inicio]],"")</f>
        <v/>
      </c>
      <c r="N218" t="str">
        <f>IF(Tabla1[[#This Row],[Cantidad producida]]&gt;Tabla1[[#This Row],[Cantidad teórica]],"SI","")</f>
        <v/>
      </c>
    </row>
    <row r="219" spans="1:14" x14ac:dyDescent="0.25">
      <c r="A219" s="2">
        <v>45840</v>
      </c>
      <c r="B219" s="3">
        <v>0.30902777777777779</v>
      </c>
      <c r="C219" s="3">
        <v>0.3263888888888889</v>
      </c>
      <c r="D219" s="19" t="str">
        <f>+IF(Tabla1[[#This Row],[Hora inicio]]&lt;$B$1,"Mañana","Tarde")</f>
        <v>Mañana</v>
      </c>
      <c r="E219" t="s">
        <v>124</v>
      </c>
      <c r="F219" s="19" t="str">
        <f>IF(Tabla1[[#This Row],[P/LC/CF/CL]]="P",Tabla1[[#This Row],[Hora fin ]]-Tabla1[[#This Row],[Hora inicio]],"")</f>
        <v/>
      </c>
      <c r="G219" s="19">
        <f>Tabla1[[#This Row],[Hora fin ]]-Tabla1[[#This Row],[Hora inicio]]</f>
        <v>1.7361111111111105E-2</v>
      </c>
      <c r="H219" s="16">
        <f>WEEKNUM(Tabla1[[#This Row],[Día]])</f>
        <v>27</v>
      </c>
      <c r="J219" s="16" t="str">
        <f>IFERROR(((HOUR(Tabla1[[#This Row],[Tiempo producción]])*60+MINUTE(Tabla1[[#This Row],[Tiempo producción]]))/60)*$J$1,"")</f>
        <v/>
      </c>
      <c r="K219" s="21" t="str">
        <f>IFERROR(Tabla1[[#This Row],[Cantidad producida]]/Tabla1[[#This Row],[Cantidad teórica]],"")</f>
        <v/>
      </c>
      <c r="L219" s="3"/>
      <c r="M219" s="23">
        <f>IF(Tabla1[[#This Row],[P/LC/CF/CL]]&lt;&gt;"P",Tabla1[[#This Row],[Hora fin ]]-Tabla1[[#This Row],[Hora inicio]],"")</f>
        <v>1.7361111111111105E-2</v>
      </c>
      <c r="N219" t="str">
        <f>IF(Tabla1[[#This Row],[Cantidad producida]]&gt;Tabla1[[#This Row],[Cantidad teórica]],"SI","")</f>
        <v/>
      </c>
    </row>
    <row r="220" spans="1:14" x14ac:dyDescent="0.25">
      <c r="A220" s="2">
        <v>45840</v>
      </c>
      <c r="B220" s="3">
        <v>0.33333333333333331</v>
      </c>
      <c r="C220" s="3">
        <v>0.5625</v>
      </c>
      <c r="D220" s="19" t="str">
        <f>+IF(Tabla1[[#This Row],[Hora inicio]]&lt;$B$1,"Mañana","Tarde")</f>
        <v>Mañana</v>
      </c>
      <c r="E220" t="s">
        <v>134</v>
      </c>
      <c r="F220" s="19">
        <f>IF(Tabla1[[#This Row],[P/LC/CF/CL]]="P",Tabla1[[#This Row],[Hora fin ]]-Tabla1[[#This Row],[Hora inicio]],"")</f>
        <v>0.22916666666666669</v>
      </c>
      <c r="G220" s="19">
        <f>Tabla1[[#This Row],[Hora fin ]]-Tabla1[[#This Row],[Hora inicio]]</f>
        <v>0.22916666666666669</v>
      </c>
      <c r="H220" s="16">
        <f>WEEKNUM(Tabla1[[#This Row],[Día]])</f>
        <v>27</v>
      </c>
      <c r="I220" s="8">
        <v>4776</v>
      </c>
      <c r="J220" s="16">
        <f>IFERROR(((HOUR(Tabla1[[#This Row],[Tiempo producción]])*60+MINUTE(Tabla1[[#This Row],[Tiempo producción]]))/60)*$J$1,"")</f>
        <v>9900</v>
      </c>
      <c r="K220" s="21">
        <f>IFERROR(Tabla1[[#This Row],[Cantidad producida]]/Tabla1[[#This Row],[Cantidad teórica]],"")</f>
        <v>0.48242424242424242</v>
      </c>
      <c r="L220" s="3"/>
      <c r="M220" s="23" t="str">
        <f>IF(Tabla1[[#This Row],[P/LC/CF/CL]]&lt;&gt;"P",Tabla1[[#This Row],[Hora fin ]]-Tabla1[[#This Row],[Hora inicio]],"")</f>
        <v/>
      </c>
      <c r="N220" t="str">
        <f>IF(Tabla1[[#This Row],[Cantidad producida]]&gt;Tabla1[[#This Row],[Cantidad teórica]],"SI","")</f>
        <v/>
      </c>
    </row>
    <row r="221" spans="1:14" x14ac:dyDescent="0.25">
      <c r="A221" s="2">
        <v>45840</v>
      </c>
      <c r="B221" s="3">
        <v>0.59375</v>
      </c>
      <c r="C221" s="3">
        <v>0.81944444444444442</v>
      </c>
      <c r="D221" s="19" t="str">
        <f>+IF(Tabla1[[#This Row],[Hora inicio]]&lt;$B$1,"Mañana","Tarde")</f>
        <v>Tarde</v>
      </c>
      <c r="E221" t="s">
        <v>134</v>
      </c>
      <c r="F221" s="19">
        <f>IF(Tabla1[[#This Row],[P/LC/CF/CL]]="P",Tabla1[[#This Row],[Hora fin ]]-Tabla1[[#This Row],[Hora inicio]],"")</f>
        <v>0.22569444444444442</v>
      </c>
      <c r="G221" s="19">
        <f>Tabla1[[#This Row],[Hora fin ]]-Tabla1[[#This Row],[Hora inicio]]</f>
        <v>0.22569444444444442</v>
      </c>
      <c r="H221" s="16">
        <f>WEEKNUM(Tabla1[[#This Row],[Día]])</f>
        <v>27</v>
      </c>
      <c r="I221" s="8">
        <v>5712</v>
      </c>
      <c r="J221" s="16">
        <f>IFERROR(((HOUR(Tabla1[[#This Row],[Tiempo producción]])*60+MINUTE(Tabla1[[#This Row],[Tiempo producción]]))/60)*$J$1,"")</f>
        <v>9750</v>
      </c>
      <c r="K221" s="21">
        <f>IFERROR(Tabla1[[#This Row],[Cantidad producida]]/Tabla1[[#This Row],[Cantidad teórica]],"")</f>
        <v>0.58584615384615379</v>
      </c>
      <c r="L221" s="3"/>
      <c r="M221" s="23" t="str">
        <f>IF(Tabla1[[#This Row],[P/LC/CF/CL]]&lt;&gt;"P",Tabla1[[#This Row],[Hora fin ]]-Tabla1[[#This Row],[Hora inicio]],"")</f>
        <v/>
      </c>
      <c r="N221" t="str">
        <f>IF(Tabla1[[#This Row],[Cantidad producida]]&gt;Tabla1[[#This Row],[Cantidad teórica]],"SI","")</f>
        <v/>
      </c>
    </row>
    <row r="222" spans="1:14" x14ac:dyDescent="0.25">
      <c r="A222" s="2">
        <v>45840</v>
      </c>
      <c r="B222" s="3">
        <v>0.81944444444444442</v>
      </c>
      <c r="C222" s="3">
        <v>0.86458333333333337</v>
      </c>
      <c r="D222" s="19" t="str">
        <f>+IF(Tabla1[[#This Row],[Hora inicio]]&lt;$B$1,"Mañana","Tarde")</f>
        <v>Tarde</v>
      </c>
      <c r="E222" t="s">
        <v>124</v>
      </c>
      <c r="F222" s="19" t="str">
        <f>IF(Tabla1[[#This Row],[P/LC/CF/CL]]="P",Tabla1[[#This Row],[Hora fin ]]-Tabla1[[#This Row],[Hora inicio]],"")</f>
        <v/>
      </c>
      <c r="G222" s="19">
        <f>Tabla1[[#This Row],[Hora fin ]]-Tabla1[[#This Row],[Hora inicio]]</f>
        <v>4.5138888888888951E-2</v>
      </c>
      <c r="H222" s="16">
        <f>WEEKNUM(Tabla1[[#This Row],[Día]])</f>
        <v>27</v>
      </c>
      <c r="J222" s="16" t="str">
        <f>IFERROR(((HOUR(Tabla1[[#This Row],[Tiempo producción]])*60+MINUTE(Tabla1[[#This Row],[Tiempo producción]]))/60)*$J$1,"")</f>
        <v/>
      </c>
      <c r="K222" s="21" t="str">
        <f>IFERROR(Tabla1[[#This Row],[Cantidad producida]]/Tabla1[[#This Row],[Cantidad teórica]],"")</f>
        <v/>
      </c>
      <c r="L222" s="3"/>
      <c r="M222" s="23">
        <f>IF(Tabla1[[#This Row],[P/LC/CF/CL]]&lt;&gt;"P",Tabla1[[#This Row],[Hora fin ]]-Tabla1[[#This Row],[Hora inicio]],"")</f>
        <v>4.5138888888888951E-2</v>
      </c>
      <c r="N222" t="str">
        <f>IF(Tabla1[[#This Row],[Cantidad producida]]&gt;Tabla1[[#This Row],[Cantidad teórica]],"SI","")</f>
        <v/>
      </c>
    </row>
    <row r="223" spans="1:14" x14ac:dyDescent="0.25">
      <c r="A223" s="2">
        <v>45840</v>
      </c>
      <c r="B223" s="3">
        <v>0.86458333333333337</v>
      </c>
      <c r="C223" s="3">
        <v>0.89583333333333337</v>
      </c>
      <c r="D223" s="19" t="str">
        <f>+IF(Tabla1[[#This Row],[Hora inicio]]&lt;$B$1,"Mañana","Tarde")</f>
        <v>Tarde</v>
      </c>
      <c r="E223" t="s">
        <v>134</v>
      </c>
      <c r="F223" s="19">
        <f>IF(Tabla1[[#This Row],[P/LC/CF/CL]]="P",Tabla1[[#This Row],[Hora fin ]]-Tabla1[[#This Row],[Hora inicio]],"")</f>
        <v>3.125E-2</v>
      </c>
      <c r="G223" s="19">
        <f>Tabla1[[#This Row],[Hora fin ]]-Tabla1[[#This Row],[Hora inicio]]</f>
        <v>3.125E-2</v>
      </c>
      <c r="H223" s="16">
        <f>WEEKNUM(Tabla1[[#This Row],[Día]])</f>
        <v>27</v>
      </c>
      <c r="I223" s="8">
        <v>786</v>
      </c>
      <c r="J223" s="16">
        <f>IFERROR(((HOUR(Tabla1[[#This Row],[Tiempo producción]])*60+MINUTE(Tabla1[[#This Row],[Tiempo producción]]))/60)*$J$1,"")</f>
        <v>1350</v>
      </c>
      <c r="K223" s="21">
        <f>IFERROR(Tabla1[[#This Row],[Cantidad producida]]/Tabla1[[#This Row],[Cantidad teórica]],"")</f>
        <v>0.5822222222222222</v>
      </c>
      <c r="L223" s="3"/>
      <c r="M223" s="23" t="str">
        <f>IF(Tabla1[[#This Row],[P/LC/CF/CL]]&lt;&gt;"P",Tabla1[[#This Row],[Hora fin ]]-Tabla1[[#This Row],[Hora inicio]],"")</f>
        <v/>
      </c>
      <c r="N223" t="str">
        <f>IF(Tabla1[[#This Row],[Cantidad producida]]&gt;Tabla1[[#This Row],[Cantidad teórica]],"SI","")</f>
        <v/>
      </c>
    </row>
    <row r="224" spans="1:14" x14ac:dyDescent="0.25">
      <c r="A224" s="2">
        <v>45841</v>
      </c>
      <c r="B224" s="3">
        <v>0.29166666666666669</v>
      </c>
      <c r="C224" s="3">
        <v>0.53819444444444442</v>
      </c>
      <c r="D224" s="19" t="str">
        <f>+IF(Tabla1[[#This Row],[Hora inicio]]&lt;$B$1,"Mañana","Tarde")</f>
        <v>Mañana</v>
      </c>
      <c r="E224" t="s">
        <v>134</v>
      </c>
      <c r="F224" s="19">
        <f>IF(Tabla1[[#This Row],[P/LC/CF/CL]]="P",Tabla1[[#This Row],[Hora fin ]]-Tabla1[[#This Row],[Hora inicio]],"")</f>
        <v>0.24652777777777773</v>
      </c>
      <c r="G224" s="19">
        <f>Tabla1[[#This Row],[Hora fin ]]-Tabla1[[#This Row],[Hora inicio]]</f>
        <v>0.24652777777777773</v>
      </c>
      <c r="H224" s="16">
        <f>WEEKNUM(Tabla1[[#This Row],[Día]])</f>
        <v>27</v>
      </c>
      <c r="I224" s="8">
        <v>5850</v>
      </c>
      <c r="J224" s="16">
        <f>IFERROR(((HOUR(Tabla1[[#This Row],[Tiempo producción]])*60+MINUTE(Tabla1[[#This Row],[Tiempo producción]]))/60)*$J$1,"")</f>
        <v>10650</v>
      </c>
      <c r="K224" s="21">
        <f>IFERROR(Tabla1[[#This Row],[Cantidad producida]]/Tabla1[[#This Row],[Cantidad teórica]],"")</f>
        <v>0.54929577464788737</v>
      </c>
      <c r="L224" s="3"/>
      <c r="M224" s="23" t="str">
        <f>IF(Tabla1[[#This Row],[P/LC/CF/CL]]&lt;&gt;"P",Tabla1[[#This Row],[Hora fin ]]-Tabla1[[#This Row],[Hora inicio]],"")</f>
        <v/>
      </c>
      <c r="N224" t="str">
        <f>IF(Tabla1[[#This Row],[Cantidad producida]]&gt;Tabla1[[#This Row],[Cantidad teórica]],"SI","")</f>
        <v/>
      </c>
    </row>
    <row r="225" spans="1:14" x14ac:dyDescent="0.25">
      <c r="A225" s="2">
        <v>45841</v>
      </c>
      <c r="B225" s="3">
        <v>0.59722222222222221</v>
      </c>
      <c r="C225" s="3">
        <v>0.71875</v>
      </c>
      <c r="D225" s="19" t="str">
        <f>+IF(Tabla1[[#This Row],[Hora inicio]]&lt;$B$1,"Mañana","Tarde")</f>
        <v>Tarde</v>
      </c>
      <c r="E225" t="s">
        <v>134</v>
      </c>
      <c r="F225" s="19">
        <f>IF(Tabla1[[#This Row],[P/LC/CF/CL]]="P",Tabla1[[#This Row],[Hora fin ]]-Tabla1[[#This Row],[Hora inicio]],"")</f>
        <v>0.12152777777777779</v>
      </c>
      <c r="G225" s="19">
        <f>Tabla1[[#This Row],[Hora fin ]]-Tabla1[[#This Row],[Hora inicio]]</f>
        <v>0.12152777777777779</v>
      </c>
      <c r="H225" s="16">
        <f>WEEKNUM(Tabla1[[#This Row],[Día]])</f>
        <v>27</v>
      </c>
      <c r="I225" s="8">
        <v>3798</v>
      </c>
      <c r="J225" s="16">
        <f>IFERROR(((HOUR(Tabla1[[#This Row],[Tiempo producción]])*60+MINUTE(Tabla1[[#This Row],[Tiempo producción]]))/60)*$J$1,"")</f>
        <v>5250</v>
      </c>
      <c r="K225" s="21">
        <f>IFERROR(Tabla1[[#This Row],[Cantidad producida]]/Tabla1[[#This Row],[Cantidad teórica]],"")</f>
        <v>0.72342857142857142</v>
      </c>
      <c r="L225" s="3"/>
      <c r="M225" s="23" t="str">
        <f>IF(Tabla1[[#This Row],[P/LC/CF/CL]]&lt;&gt;"P",Tabla1[[#This Row],[Hora fin ]]-Tabla1[[#This Row],[Hora inicio]],"")</f>
        <v/>
      </c>
      <c r="N225" t="str">
        <f>IF(Tabla1[[#This Row],[Cantidad producida]]&gt;Tabla1[[#This Row],[Cantidad teórica]],"SI","")</f>
        <v/>
      </c>
    </row>
    <row r="226" spans="1:14" x14ac:dyDescent="0.25">
      <c r="A226" s="2">
        <v>45841</v>
      </c>
      <c r="B226" s="3">
        <v>0.71875</v>
      </c>
      <c r="C226" s="3">
        <v>0.73611111111111116</v>
      </c>
      <c r="D226" s="19" t="str">
        <f>+IF(Tabla1[[#This Row],[Hora inicio]]&lt;$B$1,"Mañana","Tarde")</f>
        <v>Tarde</v>
      </c>
      <c r="E226" t="s">
        <v>124</v>
      </c>
      <c r="F226" s="19" t="str">
        <f>IF(Tabla1[[#This Row],[P/LC/CF/CL]]="P",Tabla1[[#This Row],[Hora fin ]]-Tabla1[[#This Row],[Hora inicio]],"")</f>
        <v/>
      </c>
      <c r="G226" s="19">
        <f>Tabla1[[#This Row],[Hora fin ]]-Tabla1[[#This Row],[Hora inicio]]</f>
        <v>1.736111111111116E-2</v>
      </c>
      <c r="H226" s="16">
        <f>WEEKNUM(Tabla1[[#This Row],[Día]])</f>
        <v>27</v>
      </c>
      <c r="J226" s="16" t="str">
        <f>IFERROR(((HOUR(Tabla1[[#This Row],[Tiempo producción]])*60+MINUTE(Tabla1[[#This Row],[Tiempo producción]]))/60)*$J$1,"")</f>
        <v/>
      </c>
      <c r="K226" s="21" t="str">
        <f>IFERROR(Tabla1[[#This Row],[Cantidad producida]]/Tabla1[[#This Row],[Cantidad teórica]],"")</f>
        <v/>
      </c>
      <c r="L226" s="3"/>
      <c r="M226" s="23">
        <f>IF(Tabla1[[#This Row],[P/LC/CF/CL]]&lt;&gt;"P",Tabla1[[#This Row],[Hora fin ]]-Tabla1[[#This Row],[Hora inicio]],"")</f>
        <v>1.736111111111116E-2</v>
      </c>
      <c r="N226" t="str">
        <f>IF(Tabla1[[#This Row],[Cantidad producida]]&gt;Tabla1[[#This Row],[Cantidad teórica]],"SI","")</f>
        <v/>
      </c>
    </row>
    <row r="227" spans="1:14" x14ac:dyDescent="0.25">
      <c r="A227" s="2">
        <v>45841</v>
      </c>
      <c r="B227" s="3">
        <v>0.73611111111111116</v>
      </c>
      <c r="C227" s="3">
        <v>0.88888888888888884</v>
      </c>
      <c r="D227" s="19" t="str">
        <f>+IF(Tabla1[[#This Row],[Hora inicio]]&lt;$B$1,"Mañana","Tarde")</f>
        <v>Tarde</v>
      </c>
      <c r="E227" t="s">
        <v>134</v>
      </c>
      <c r="F227" s="19">
        <f>IF(Tabla1[[#This Row],[P/LC/CF/CL]]="P",Tabla1[[#This Row],[Hora fin ]]-Tabla1[[#This Row],[Hora inicio]],"")</f>
        <v>0.15277777777777768</v>
      </c>
      <c r="G227" s="19">
        <f>Tabla1[[#This Row],[Hora fin ]]-Tabla1[[#This Row],[Hora inicio]]</f>
        <v>0.15277777777777768</v>
      </c>
      <c r="H227" s="16">
        <f>WEEKNUM(Tabla1[[#This Row],[Día]])</f>
        <v>27</v>
      </c>
      <c r="I227" s="8">
        <v>3336</v>
      </c>
      <c r="J227" s="16">
        <f>IFERROR(((HOUR(Tabla1[[#This Row],[Tiempo producción]])*60+MINUTE(Tabla1[[#This Row],[Tiempo producción]]))/60)*$J$1,"")</f>
        <v>6600</v>
      </c>
      <c r="K227" s="21">
        <f>IFERROR(Tabla1[[#This Row],[Cantidad producida]]/Tabla1[[#This Row],[Cantidad teórica]],"")</f>
        <v>0.50545454545454549</v>
      </c>
      <c r="L227" s="3"/>
      <c r="M227" s="23" t="str">
        <f>IF(Tabla1[[#This Row],[P/LC/CF/CL]]&lt;&gt;"P",Tabla1[[#This Row],[Hora fin ]]-Tabla1[[#This Row],[Hora inicio]],"")</f>
        <v/>
      </c>
      <c r="N227" t="str">
        <f>IF(Tabla1[[#This Row],[Cantidad producida]]&gt;Tabla1[[#This Row],[Cantidad teórica]],"SI","")</f>
        <v/>
      </c>
    </row>
    <row r="228" spans="1:14" ht="30" x14ac:dyDescent="0.25">
      <c r="A228" s="2">
        <v>45842</v>
      </c>
      <c r="B228" s="3">
        <v>0.28819444444444442</v>
      </c>
      <c r="C228" s="3">
        <v>0.53819444444444442</v>
      </c>
      <c r="D228" s="19" t="str">
        <f>+IF(Tabla1[[#This Row],[Hora inicio]]&lt;$B$1,"Mañana","Tarde")</f>
        <v>Mañana</v>
      </c>
      <c r="E228" t="s">
        <v>134</v>
      </c>
      <c r="F228" s="19">
        <f>IF(Tabla1[[#This Row],[P/LC/CF/CL]]="P",Tabla1[[#This Row],[Hora fin ]]-Tabla1[[#This Row],[Hora inicio]],"")</f>
        <v>0.25</v>
      </c>
      <c r="G228" s="19">
        <f>Tabla1[[#This Row],[Hora fin ]]-Tabla1[[#This Row],[Hora inicio]]</f>
        <v>0.25</v>
      </c>
      <c r="H228" s="16">
        <f>WEEKNUM(Tabla1[[#This Row],[Día]])</f>
        <v>27</v>
      </c>
      <c r="I228" s="8">
        <v>7140</v>
      </c>
      <c r="J228" s="16">
        <f>IFERROR(((HOUR(Tabla1[[#This Row],[Tiempo producción]])*60+MINUTE(Tabla1[[#This Row],[Tiempo producción]]))/60)*$J$1,"")</f>
        <v>10800</v>
      </c>
      <c r="K228" s="21">
        <f>IFERROR(Tabla1[[#This Row],[Cantidad producida]]/Tabla1[[#This Row],[Cantidad teórica]],"")</f>
        <v>0.66111111111111109</v>
      </c>
      <c r="L228" s="28" t="s">
        <v>145</v>
      </c>
      <c r="M228" s="23"/>
      <c r="N228" t="str">
        <f>IF(Tabla1[[#This Row],[Cantidad producida]]&gt;Tabla1[[#This Row],[Cantidad teórica]],"SI","")</f>
        <v/>
      </c>
    </row>
    <row r="229" spans="1:14" x14ac:dyDescent="0.25">
      <c r="A229" s="2">
        <v>45845</v>
      </c>
      <c r="B229" s="3">
        <v>0.61458333333333337</v>
      </c>
      <c r="C229" s="3">
        <v>0.89583333333333337</v>
      </c>
      <c r="D229" s="19" t="str">
        <f>+IF(Tabla1[[#This Row],[Hora inicio]]&lt;$B$1,"Mañana","Tarde")</f>
        <v>Tarde</v>
      </c>
      <c r="E229" t="s">
        <v>134</v>
      </c>
      <c r="F229" s="19">
        <f>IF(Tabla1[[#This Row],[P/LC/CF/CL]]="P",Tabla1[[#This Row],[Hora fin ]]-Tabla1[[#This Row],[Hora inicio]],"")</f>
        <v>0.28125</v>
      </c>
      <c r="G229" s="19">
        <f>Tabla1[[#This Row],[Hora fin ]]-Tabla1[[#This Row],[Hora inicio]]</f>
        <v>0.28125</v>
      </c>
      <c r="H229" s="16">
        <f>WEEKNUM(Tabla1[[#This Row],[Día]])</f>
        <v>28</v>
      </c>
      <c r="I229" s="8">
        <v>10920</v>
      </c>
      <c r="J229" s="16">
        <f>IFERROR(((HOUR(Tabla1[[#This Row],[Tiempo producción]])*60+MINUTE(Tabla1[[#This Row],[Tiempo producción]]))/60)*$J$1,"")</f>
        <v>12150</v>
      </c>
      <c r="K229" s="21">
        <f>IFERROR(Tabla1[[#This Row],[Cantidad producida]]/Tabla1[[#This Row],[Cantidad teórica]],"")</f>
        <v>0.89876543209876547</v>
      </c>
      <c r="L229" s="3"/>
      <c r="M229" s="23" t="str">
        <f>IF(Tabla1[[#This Row],[P/LC/CF/CL]]&lt;&gt;"P",Tabla1[[#This Row],[Hora fin ]]-Tabla1[[#This Row],[Hora inicio]],"")</f>
        <v/>
      </c>
      <c r="N229" t="str">
        <f>IF(Tabla1[[#This Row],[Cantidad producida]]&gt;Tabla1[[#This Row],[Cantidad teórica]],"SI","")</f>
        <v/>
      </c>
    </row>
    <row r="230" spans="1:14" x14ac:dyDescent="0.25">
      <c r="A230" s="2">
        <v>45846</v>
      </c>
      <c r="B230" s="3">
        <v>0.2673611111111111</v>
      </c>
      <c r="C230" s="3">
        <v>0.5625</v>
      </c>
      <c r="D230" s="19" t="str">
        <f>+IF(Tabla1[[#This Row],[Hora inicio]]&lt;$B$1,"Mañana","Tarde")</f>
        <v>Mañana</v>
      </c>
      <c r="E230" t="s">
        <v>134</v>
      </c>
      <c r="F230" s="19">
        <f>IF(Tabla1[[#This Row],[P/LC/CF/CL]]="P",Tabla1[[#This Row],[Hora fin ]]-Tabla1[[#This Row],[Hora inicio]],"")</f>
        <v>0.2951388888888889</v>
      </c>
      <c r="G230" s="19">
        <f>Tabla1[[#This Row],[Hora fin ]]-Tabla1[[#This Row],[Hora inicio]]</f>
        <v>0.2951388888888889</v>
      </c>
      <c r="H230" s="16">
        <f>WEEKNUM(Tabla1[[#This Row],[Día]])</f>
        <v>28</v>
      </c>
      <c r="I230" s="8">
        <v>8580</v>
      </c>
      <c r="J230" s="16">
        <f>IFERROR(((HOUR(Tabla1[[#This Row],[Tiempo producción]])*60+MINUTE(Tabla1[[#This Row],[Tiempo producción]]))/60)*$J$1,"")</f>
        <v>12750</v>
      </c>
      <c r="K230" s="21">
        <f>IFERROR(Tabla1[[#This Row],[Cantidad producida]]/Tabla1[[#This Row],[Cantidad teórica]],"")</f>
        <v>0.67294117647058826</v>
      </c>
      <c r="L230" s="3" t="s">
        <v>146</v>
      </c>
      <c r="M230" s="23" t="str">
        <f>IF(Tabla1[[#This Row],[P/LC/CF/CL]]&lt;&gt;"P",Tabla1[[#This Row],[Hora fin ]]-Tabla1[[#This Row],[Hora inicio]],"")</f>
        <v/>
      </c>
      <c r="N230" t="str">
        <f>IF(Tabla1[[#This Row],[Cantidad producida]]&gt;Tabla1[[#This Row],[Cantidad teórica]],"SI","")</f>
        <v/>
      </c>
    </row>
    <row r="231" spans="1:14" x14ac:dyDescent="0.25">
      <c r="A231" s="2">
        <v>45846</v>
      </c>
      <c r="B231" s="3">
        <v>0.5625</v>
      </c>
      <c r="C231" s="3">
        <v>0.58333333333333337</v>
      </c>
      <c r="D231" s="19" t="str">
        <f>+IF(Tabla1[[#This Row],[Hora inicio]]&lt;$B$1,"Mañana","Tarde")</f>
        <v>Mañana</v>
      </c>
      <c r="E231" t="s">
        <v>124</v>
      </c>
      <c r="F231" s="19" t="str">
        <f>IF(Tabla1[[#This Row],[P/LC/CF/CL]]="P",Tabla1[[#This Row],[Hora fin ]]-Tabla1[[#This Row],[Hora inicio]],"")</f>
        <v/>
      </c>
      <c r="G231" s="19">
        <f>Tabla1[[#This Row],[Hora fin ]]-Tabla1[[#This Row],[Hora inicio]]</f>
        <v>2.083333333333337E-2</v>
      </c>
      <c r="H231" s="16">
        <f>WEEKNUM(Tabla1[[#This Row],[Día]])</f>
        <v>28</v>
      </c>
      <c r="J231" s="16" t="str">
        <f>IFERROR(((HOUR(Tabla1[[#This Row],[Tiempo producción]])*60+MINUTE(Tabla1[[#This Row],[Tiempo producción]]))/60)*$J$1,"")</f>
        <v/>
      </c>
      <c r="K231" s="21" t="str">
        <f>IFERROR(Tabla1[[#This Row],[Cantidad producida]]/Tabla1[[#This Row],[Cantidad teórica]],"")</f>
        <v/>
      </c>
      <c r="L231" s="3"/>
      <c r="M231" s="23">
        <f>IF(Tabla1[[#This Row],[P/LC/CF/CL]]&lt;&gt;"P",Tabla1[[#This Row],[Hora fin ]]-Tabla1[[#This Row],[Hora inicio]],"")</f>
        <v>2.083333333333337E-2</v>
      </c>
      <c r="N231" t="str">
        <f>IF(Tabla1[[#This Row],[Cantidad producida]]&gt;Tabla1[[#This Row],[Cantidad teórica]],"SI","")</f>
        <v/>
      </c>
    </row>
    <row r="232" spans="1:14" x14ac:dyDescent="0.25">
      <c r="A232" s="2">
        <v>45846</v>
      </c>
      <c r="B232" s="3">
        <v>0.59375</v>
      </c>
      <c r="C232" s="3">
        <v>0.625</v>
      </c>
      <c r="D232" s="19" t="str">
        <f>+IF(Tabla1[[#This Row],[Hora inicio]]&lt;$B$1,"Mañana","Tarde")</f>
        <v>Tarde</v>
      </c>
      <c r="E232" t="s">
        <v>124</v>
      </c>
      <c r="F232" s="19" t="str">
        <f>IF(Tabla1[[#This Row],[P/LC/CF/CL]]="P",Tabla1[[#This Row],[Hora fin ]]-Tabla1[[#This Row],[Hora inicio]],"")</f>
        <v/>
      </c>
      <c r="G232" s="19">
        <f>Tabla1[[#This Row],[Hora fin ]]-Tabla1[[#This Row],[Hora inicio]]</f>
        <v>3.125E-2</v>
      </c>
      <c r="H232" s="16">
        <f>WEEKNUM(Tabla1[[#This Row],[Día]])</f>
        <v>28</v>
      </c>
      <c r="J232" s="16" t="str">
        <f>IFERROR(((HOUR(Tabla1[[#This Row],[Tiempo producción]])*60+MINUTE(Tabla1[[#This Row],[Tiempo producción]]))/60)*$J$1,"")</f>
        <v/>
      </c>
      <c r="K232" s="21" t="str">
        <f>IFERROR(Tabla1[[#This Row],[Cantidad producida]]/Tabla1[[#This Row],[Cantidad teórica]],"")</f>
        <v/>
      </c>
      <c r="L232" s="3"/>
      <c r="M232" s="23">
        <f>IF(Tabla1[[#This Row],[P/LC/CF/CL]]&lt;&gt;"P",Tabla1[[#This Row],[Hora fin ]]-Tabla1[[#This Row],[Hora inicio]],"")</f>
        <v>3.125E-2</v>
      </c>
      <c r="N232" t="str">
        <f>IF(Tabla1[[#This Row],[Cantidad producida]]&gt;Tabla1[[#This Row],[Cantidad teórica]],"SI","")</f>
        <v/>
      </c>
    </row>
    <row r="233" spans="1:14" x14ac:dyDescent="0.25">
      <c r="A233" s="2">
        <v>45846</v>
      </c>
      <c r="B233" s="3">
        <v>0.625</v>
      </c>
      <c r="C233" s="3">
        <v>0.89583333333333337</v>
      </c>
      <c r="D233" s="19" t="str">
        <f>+IF(Tabla1[[#This Row],[Hora inicio]]&lt;$B$1,"Mañana","Tarde")</f>
        <v>Tarde</v>
      </c>
      <c r="E233" t="s">
        <v>134</v>
      </c>
      <c r="F233" s="19">
        <f>IF(Tabla1[[#This Row],[P/LC/CF/CL]]="P",Tabla1[[#This Row],[Hora fin ]]-Tabla1[[#This Row],[Hora inicio]],"")</f>
        <v>0.27083333333333337</v>
      </c>
      <c r="G233" s="19">
        <f>Tabla1[[#This Row],[Hora fin ]]-Tabla1[[#This Row],[Hora inicio]]</f>
        <v>0.27083333333333337</v>
      </c>
      <c r="H233" s="16">
        <f>WEEKNUM(Tabla1[[#This Row],[Día]])</f>
        <v>28</v>
      </c>
      <c r="I233" s="8">
        <v>11760</v>
      </c>
      <c r="J233" s="16">
        <f>IFERROR(((HOUR(Tabla1[[#This Row],[Tiempo producción]])*60+MINUTE(Tabla1[[#This Row],[Tiempo producción]]))/60)*$J$1,"")</f>
        <v>11700</v>
      </c>
      <c r="K233" s="21">
        <f>IFERROR(Tabla1[[#This Row],[Cantidad producida]]/Tabla1[[#This Row],[Cantidad teórica]],"")</f>
        <v>1.0051282051282051</v>
      </c>
      <c r="L233" s="3"/>
      <c r="M233" s="23" t="str">
        <f>IF(Tabla1[[#This Row],[P/LC/CF/CL]]&lt;&gt;"P",Tabla1[[#This Row],[Hora fin ]]-Tabla1[[#This Row],[Hora inicio]],"")</f>
        <v/>
      </c>
      <c r="N233" t="str">
        <f>IF(Tabla1[[#This Row],[Cantidad producida]]&gt;Tabla1[[#This Row],[Cantidad teórica]],"SI","")</f>
        <v>SI</v>
      </c>
    </row>
    <row r="234" spans="1:14" x14ac:dyDescent="0.25">
      <c r="A234" s="2">
        <v>45847</v>
      </c>
      <c r="B234" s="3">
        <v>0.27777777777777779</v>
      </c>
      <c r="C234" s="3">
        <v>0.46875</v>
      </c>
      <c r="D234" s="19" t="str">
        <f>+IF(Tabla1[[#This Row],[Hora inicio]]&lt;$B$1,"Mañana","Tarde")</f>
        <v>Mañana</v>
      </c>
      <c r="E234" t="s">
        <v>134</v>
      </c>
      <c r="F234" s="19">
        <f>IF(Tabla1[[#This Row],[P/LC/CF/CL]]="P",Tabla1[[#This Row],[Hora fin ]]-Tabla1[[#This Row],[Hora inicio]],"")</f>
        <v>0.19097222222222221</v>
      </c>
      <c r="G234" s="19">
        <f>Tabla1[[#This Row],[Hora fin ]]-Tabla1[[#This Row],[Hora inicio]]</f>
        <v>0.19097222222222221</v>
      </c>
      <c r="H234" s="16">
        <f>WEEKNUM(Tabla1[[#This Row],[Día]])</f>
        <v>28</v>
      </c>
      <c r="I234" s="8">
        <v>7890</v>
      </c>
      <c r="J234" s="16">
        <f>IFERROR(((HOUR(Tabla1[[#This Row],[Tiempo producción]])*60+MINUTE(Tabla1[[#This Row],[Tiempo producción]]))/60)*$J$1,"")</f>
        <v>8250</v>
      </c>
      <c r="K234" s="21">
        <f>IFERROR(Tabla1[[#This Row],[Cantidad producida]]/Tabla1[[#This Row],[Cantidad teórica]],"")</f>
        <v>0.95636363636363642</v>
      </c>
      <c r="L234" s="3"/>
      <c r="M234" s="23" t="str">
        <f>IF(Tabla1[[#This Row],[P/LC/CF/CL]]&lt;&gt;"P",Tabla1[[#This Row],[Hora fin ]]-Tabla1[[#This Row],[Hora inicio]],"")</f>
        <v/>
      </c>
      <c r="N234" t="str">
        <f>IF(Tabla1[[#This Row],[Cantidad producida]]&gt;Tabla1[[#This Row],[Cantidad teórica]],"SI","")</f>
        <v/>
      </c>
    </row>
    <row r="235" spans="1:14" x14ac:dyDescent="0.25">
      <c r="A235" s="2">
        <v>45847</v>
      </c>
      <c r="B235" s="3">
        <v>0.47569444444444442</v>
      </c>
      <c r="C235" s="3">
        <v>0.48958333333333331</v>
      </c>
      <c r="D235" s="19" t="str">
        <f>+IF(Tabla1[[#This Row],[Hora inicio]]&lt;$B$1,"Mañana","Tarde")</f>
        <v>Mañana</v>
      </c>
      <c r="E235" t="s">
        <v>124</v>
      </c>
      <c r="F235" s="19" t="str">
        <f>IF(Tabla1[[#This Row],[P/LC/CF/CL]]="P",Tabla1[[#This Row],[Hora fin ]]-Tabla1[[#This Row],[Hora inicio]],"")</f>
        <v/>
      </c>
      <c r="G235" s="19">
        <f>Tabla1[[#This Row],[Hora fin ]]-Tabla1[[#This Row],[Hora inicio]]</f>
        <v>1.3888888888888895E-2</v>
      </c>
      <c r="H235" s="16">
        <f>WEEKNUM(Tabla1[[#This Row],[Día]])</f>
        <v>28</v>
      </c>
      <c r="J235" s="16" t="str">
        <f>IFERROR(((HOUR(Tabla1[[#This Row],[Tiempo producción]])*60+MINUTE(Tabla1[[#This Row],[Tiempo producción]]))/60)*$J$1,"")</f>
        <v/>
      </c>
      <c r="K235" s="21" t="str">
        <f>IFERROR(Tabla1[[#This Row],[Cantidad producida]]/Tabla1[[#This Row],[Cantidad teórica]],"")</f>
        <v/>
      </c>
      <c r="L235" s="3"/>
      <c r="M235" s="23">
        <f>IF(Tabla1[[#This Row],[P/LC/CF/CL]]&lt;&gt;"P",Tabla1[[#This Row],[Hora fin ]]-Tabla1[[#This Row],[Hora inicio]],"")</f>
        <v>1.3888888888888895E-2</v>
      </c>
      <c r="N235" t="str">
        <f>IF(Tabla1[[#This Row],[Cantidad producida]]&gt;Tabla1[[#This Row],[Cantidad teórica]],"SI","")</f>
        <v/>
      </c>
    </row>
    <row r="236" spans="1:14" x14ac:dyDescent="0.25">
      <c r="A236" s="2">
        <v>45847</v>
      </c>
      <c r="B236" s="3">
        <v>0.48958333333333331</v>
      </c>
      <c r="C236" s="3">
        <v>0.56944444444444442</v>
      </c>
      <c r="D236" s="19" t="str">
        <f>+IF(Tabla1[[#This Row],[Hora inicio]]&lt;$B$1,"Mañana","Tarde")</f>
        <v>Mañana</v>
      </c>
      <c r="E236" t="s">
        <v>134</v>
      </c>
      <c r="F236" s="19">
        <f>IF(Tabla1[[#This Row],[P/LC/CF/CL]]="P",Tabla1[[#This Row],[Hora fin ]]-Tabla1[[#This Row],[Hora inicio]],"")</f>
        <v>7.9861111111111105E-2</v>
      </c>
      <c r="G236" s="19">
        <f>Tabla1[[#This Row],[Hora fin ]]-Tabla1[[#This Row],[Hora inicio]]</f>
        <v>7.9861111111111105E-2</v>
      </c>
      <c r="H236" s="16">
        <f>WEEKNUM(Tabla1[[#This Row],[Día]])</f>
        <v>28</v>
      </c>
      <c r="I236" s="8">
        <v>4104</v>
      </c>
      <c r="J236" s="16">
        <f>IFERROR(((HOUR(Tabla1[[#This Row],[Tiempo producción]])*60+MINUTE(Tabla1[[#This Row],[Tiempo producción]]))/60)*$J$1,"")</f>
        <v>3450</v>
      </c>
      <c r="K236" s="21">
        <f>IFERROR(Tabla1[[#This Row],[Cantidad producida]]/Tabla1[[#This Row],[Cantidad teórica]],"")</f>
        <v>1.1895652173913043</v>
      </c>
      <c r="L236" s="3"/>
      <c r="M236" s="23" t="str">
        <f>IF(Tabla1[[#This Row],[P/LC/CF/CL]]&lt;&gt;"P",Tabla1[[#This Row],[Hora fin ]]-Tabla1[[#This Row],[Hora inicio]],"")</f>
        <v/>
      </c>
      <c r="N236" t="str">
        <f>IF(Tabla1[[#This Row],[Cantidad producida]]&gt;Tabla1[[#This Row],[Cantidad teórica]],"SI","")</f>
        <v>SI</v>
      </c>
    </row>
    <row r="237" spans="1:14" x14ac:dyDescent="0.25">
      <c r="A237" s="2">
        <v>45847</v>
      </c>
      <c r="B237" s="3">
        <v>0.59375</v>
      </c>
      <c r="C237" s="3">
        <v>0.89583333333333337</v>
      </c>
      <c r="D237" s="19" t="str">
        <f>+IF(Tabla1[[#This Row],[Hora inicio]]&lt;$B$1,"Mañana","Tarde")</f>
        <v>Tarde</v>
      </c>
      <c r="E237" t="s">
        <v>134</v>
      </c>
      <c r="F237" s="19">
        <f>IF(Tabla1[[#This Row],[P/LC/CF/CL]]="P",Tabla1[[#This Row],[Hora fin ]]-Tabla1[[#This Row],[Hora inicio]],"")</f>
        <v>0.30208333333333337</v>
      </c>
      <c r="G237" s="19">
        <f>Tabla1[[#This Row],[Hora fin ]]-Tabla1[[#This Row],[Hora inicio]]</f>
        <v>0.30208333333333337</v>
      </c>
      <c r="H237" s="16">
        <f>WEEKNUM(Tabla1[[#This Row],[Día]])</f>
        <v>28</v>
      </c>
      <c r="I237" s="8">
        <v>12468</v>
      </c>
      <c r="J237" s="16">
        <f>IFERROR(((HOUR(Tabla1[[#This Row],[Tiempo producción]])*60+MINUTE(Tabla1[[#This Row],[Tiempo producción]]))/60)*$J$1,"")</f>
        <v>13050</v>
      </c>
      <c r="K237" s="21">
        <f>IFERROR(Tabla1[[#This Row],[Cantidad producida]]/Tabla1[[#This Row],[Cantidad teórica]],"")</f>
        <v>0.9554022988505747</v>
      </c>
      <c r="L237" s="3"/>
      <c r="M237" s="23" t="str">
        <f>IF(Tabla1[[#This Row],[P/LC/CF/CL]]&lt;&gt;"P",Tabla1[[#This Row],[Hora fin ]]-Tabla1[[#This Row],[Hora inicio]],"")</f>
        <v/>
      </c>
      <c r="N237" t="str">
        <f>IF(Tabla1[[#This Row],[Cantidad producida]]&gt;Tabla1[[#This Row],[Cantidad teórica]],"SI","")</f>
        <v/>
      </c>
    </row>
    <row r="238" spans="1:14" x14ac:dyDescent="0.25">
      <c r="A238" s="2">
        <v>45848</v>
      </c>
      <c r="B238" s="3">
        <v>0.28125</v>
      </c>
      <c r="C238" s="3">
        <v>0.35416666666666669</v>
      </c>
      <c r="D238" s="19" t="str">
        <f>+IF(Tabla1[[#This Row],[Hora inicio]]&lt;$B$1,"Mañana","Tarde")</f>
        <v>Mañana</v>
      </c>
      <c r="E238" t="s">
        <v>134</v>
      </c>
      <c r="F238" s="19">
        <f>IF(Tabla1[[#This Row],[P/LC/CF/CL]]="P",Tabla1[[#This Row],[Hora fin ]]-Tabla1[[#This Row],[Hora inicio]],"")</f>
        <v>7.2916666666666685E-2</v>
      </c>
      <c r="G238" s="19">
        <f>Tabla1[[#This Row],[Hora fin ]]-Tabla1[[#This Row],[Hora inicio]]</f>
        <v>7.2916666666666685E-2</v>
      </c>
      <c r="H238" s="16">
        <f>WEEKNUM(Tabla1[[#This Row],[Día]])</f>
        <v>28</v>
      </c>
      <c r="I238" s="8">
        <v>3084</v>
      </c>
      <c r="J238" s="16">
        <f>IFERROR(((HOUR(Tabla1[[#This Row],[Tiempo producción]])*60+MINUTE(Tabla1[[#This Row],[Tiempo producción]]))/60)*$J$1,"")</f>
        <v>3150</v>
      </c>
      <c r="K238" s="21">
        <f>IFERROR(Tabla1[[#This Row],[Cantidad producida]]/Tabla1[[#This Row],[Cantidad teórica]],"")</f>
        <v>0.97904761904761906</v>
      </c>
      <c r="L238" s="3" t="s">
        <v>147</v>
      </c>
      <c r="M238" s="23" t="str">
        <f>IF(Tabla1[[#This Row],[P/LC/CF/CL]]&lt;&gt;"P",Tabla1[[#This Row],[Hora fin ]]-Tabla1[[#This Row],[Hora inicio]],"")</f>
        <v/>
      </c>
      <c r="N238" t="str">
        <f>IF(Tabla1[[#This Row],[Cantidad producida]]&gt;Tabla1[[#This Row],[Cantidad teórica]],"SI","")</f>
        <v/>
      </c>
    </row>
    <row r="239" spans="1:14" x14ac:dyDescent="0.25">
      <c r="A239" s="2">
        <v>45848</v>
      </c>
      <c r="B239" s="3">
        <v>0.625</v>
      </c>
      <c r="C239" s="3">
        <v>0.89583333333333337</v>
      </c>
      <c r="D239" s="19" t="str">
        <f>+IF(Tabla1[[#This Row],[Hora inicio]]&lt;$B$1,"Mañana","Tarde")</f>
        <v>Tarde</v>
      </c>
      <c r="E239" t="s">
        <v>134</v>
      </c>
      <c r="F239" s="19">
        <f>IF(Tabla1[[#This Row],[P/LC/CF/CL]]="P",Tabla1[[#This Row],[Hora fin ]]-Tabla1[[#This Row],[Hora inicio]],"")</f>
        <v>0.27083333333333337</v>
      </c>
      <c r="G239" s="19">
        <f>Tabla1[[#This Row],[Hora fin ]]-Tabla1[[#This Row],[Hora inicio]]</f>
        <v>0.27083333333333337</v>
      </c>
      <c r="H239" s="16">
        <f>WEEKNUM(Tabla1[[#This Row],[Día]])</f>
        <v>28</v>
      </c>
      <c r="I239" s="8">
        <v>8058</v>
      </c>
      <c r="J239" s="16">
        <f>IFERROR(((HOUR(Tabla1[[#This Row],[Tiempo producción]])*60+MINUTE(Tabla1[[#This Row],[Tiempo producción]]))/60)*$J$1,"")</f>
        <v>11700</v>
      </c>
      <c r="K239" s="21">
        <f>IFERROR(Tabla1[[#This Row],[Cantidad producida]]/Tabla1[[#This Row],[Cantidad teórica]],"")</f>
        <v>0.68871794871794867</v>
      </c>
      <c r="L239" s="3" t="s">
        <v>148</v>
      </c>
      <c r="M239" s="23" t="str">
        <f>IF(Tabla1[[#This Row],[P/LC/CF/CL]]&lt;&gt;"P",Tabla1[[#This Row],[Hora fin ]]-Tabla1[[#This Row],[Hora inicio]],"")</f>
        <v/>
      </c>
      <c r="N239" t="str">
        <f>IF(Tabla1[[#This Row],[Cantidad producida]]&gt;Tabla1[[#This Row],[Cantidad teórica]],"SI","")</f>
        <v/>
      </c>
    </row>
    <row r="240" spans="1:14" x14ac:dyDescent="0.25">
      <c r="A240" s="2">
        <v>45849</v>
      </c>
      <c r="B240" s="3">
        <v>0.27083333333333331</v>
      </c>
      <c r="C240" s="3">
        <v>0.3125</v>
      </c>
      <c r="D240" s="19" t="str">
        <f>+IF(Tabla1[[#This Row],[Hora inicio]]&lt;$B$1,"Mañana","Tarde")</f>
        <v>Mañana</v>
      </c>
      <c r="E240" t="s">
        <v>134</v>
      </c>
      <c r="F240" s="19">
        <f>IF(Tabla1[[#This Row],[P/LC/CF/CL]]="P",Tabla1[[#This Row],[Hora fin ]]-Tabla1[[#This Row],[Hora inicio]],"")</f>
        <v>4.1666666666666685E-2</v>
      </c>
      <c r="G240" s="19">
        <f>Tabla1[[#This Row],[Hora fin ]]-Tabla1[[#This Row],[Hora inicio]]</f>
        <v>4.1666666666666685E-2</v>
      </c>
      <c r="H240" s="16">
        <f>WEEKNUM(Tabla1[[#This Row],[Día]])</f>
        <v>28</v>
      </c>
      <c r="I240" s="8">
        <v>2000</v>
      </c>
      <c r="J240" s="16">
        <f>IFERROR(((HOUR(Tabla1[[#This Row],[Tiempo producción]])*60+MINUTE(Tabla1[[#This Row],[Tiempo producción]]))/60)*$J$1,"")</f>
        <v>1800</v>
      </c>
      <c r="K240" s="21">
        <f>IFERROR(Tabla1[[#This Row],[Cantidad producida]]/Tabla1[[#This Row],[Cantidad teórica]],"")</f>
        <v>1.1111111111111112</v>
      </c>
      <c r="L240" s="3" t="s">
        <v>147</v>
      </c>
      <c r="M240" s="23" t="str">
        <f>IF(Tabla1[[#This Row],[P/LC/CF/CL]]&lt;&gt;"P",Tabla1[[#This Row],[Hora fin ]]-Tabla1[[#This Row],[Hora inicio]],"")</f>
        <v/>
      </c>
      <c r="N240" t="str">
        <f>IF(Tabla1[[#This Row],[Cantidad producida]]&gt;Tabla1[[#This Row],[Cantidad teórica]],"SI","")</f>
        <v>SI</v>
      </c>
    </row>
    <row r="241" spans="1:14" x14ac:dyDescent="0.25">
      <c r="A241" s="2">
        <v>45849</v>
      </c>
      <c r="B241" s="3">
        <v>0.35416666666666669</v>
      </c>
      <c r="C241" s="3">
        <v>0.4236111111111111</v>
      </c>
      <c r="D241" s="19" t="str">
        <f>+IF(Tabla1[[#This Row],[Hora inicio]]&lt;$B$1,"Mañana","Tarde")</f>
        <v>Mañana</v>
      </c>
      <c r="E241" t="s">
        <v>134</v>
      </c>
      <c r="F241" s="19">
        <f>IF(Tabla1[[#This Row],[P/LC/CF/CL]]="P",Tabla1[[#This Row],[Hora fin ]]-Tabla1[[#This Row],[Hora inicio]],"")</f>
        <v>6.944444444444442E-2</v>
      </c>
      <c r="G241" s="19">
        <f>Tabla1[[#This Row],[Hora fin ]]-Tabla1[[#This Row],[Hora inicio]]</f>
        <v>6.944444444444442E-2</v>
      </c>
      <c r="H241" s="16">
        <f>WEEKNUM(Tabla1[[#This Row],[Día]])</f>
        <v>28</v>
      </c>
      <c r="I241" s="8">
        <v>3217</v>
      </c>
      <c r="J241" s="16">
        <f>IFERROR(((HOUR(Tabla1[[#This Row],[Tiempo producción]])*60+MINUTE(Tabla1[[#This Row],[Tiempo producción]]))/60)*$J$1,"")</f>
        <v>3000</v>
      </c>
      <c r="K241" s="21">
        <f>IFERROR(Tabla1[[#This Row],[Cantidad producida]]/Tabla1[[#This Row],[Cantidad teórica]],"")</f>
        <v>1.0723333333333334</v>
      </c>
      <c r="L241" s="3"/>
      <c r="M241" s="23" t="str">
        <f>IF(Tabla1[[#This Row],[P/LC/CF/CL]]&lt;&gt;"P",Tabla1[[#This Row],[Hora fin ]]-Tabla1[[#This Row],[Hora inicio]],"")</f>
        <v/>
      </c>
      <c r="N241" t="str">
        <f>IF(Tabla1[[#This Row],[Cantidad producida]]&gt;Tabla1[[#This Row],[Cantidad teórica]],"SI","")</f>
        <v>SI</v>
      </c>
    </row>
    <row r="242" spans="1:14" x14ac:dyDescent="0.25">
      <c r="A242" s="2">
        <v>45852</v>
      </c>
      <c r="B242" s="3">
        <v>0.77083333333333337</v>
      </c>
      <c r="C242" s="3">
        <v>0.86111111111111116</v>
      </c>
      <c r="D242" s="19" t="str">
        <f>+IF(Tabla1[[#This Row],[Hora inicio]]&lt;$B$1,"Mañana","Tarde")</f>
        <v>Tarde</v>
      </c>
      <c r="E242" t="s">
        <v>134</v>
      </c>
      <c r="F242" s="19">
        <f>IF(Tabla1[[#This Row],[P/LC/CF/CL]]="P",Tabla1[[#This Row],[Hora fin ]]-Tabla1[[#This Row],[Hora inicio]],"")</f>
        <v>9.027777777777779E-2</v>
      </c>
      <c r="G242" s="19">
        <f>Tabla1[[#This Row],[Hora fin ]]-Tabla1[[#This Row],[Hora inicio]]</f>
        <v>9.027777777777779E-2</v>
      </c>
      <c r="H242" s="16">
        <f>WEEKNUM(Tabla1[[#This Row],[Día]])</f>
        <v>29</v>
      </c>
      <c r="I242" s="8">
        <v>2946</v>
      </c>
      <c r="J242" s="16">
        <f>IFERROR(((HOUR(Tabla1[[#This Row],[Tiempo producción]])*60+MINUTE(Tabla1[[#This Row],[Tiempo producción]]))/60)*$J$1,"")</f>
        <v>3899.9999999999995</v>
      </c>
      <c r="K242" s="21">
        <f>IFERROR(Tabla1[[#This Row],[Cantidad producida]]/Tabla1[[#This Row],[Cantidad teórica]],"")</f>
        <v>0.75538461538461543</v>
      </c>
      <c r="L242" s="3"/>
      <c r="M242" s="23" t="str">
        <f>IF(Tabla1[[#This Row],[P/LC/CF/CL]]&lt;&gt;"P",Tabla1[[#This Row],[Hora fin ]]-Tabla1[[#This Row],[Hora inicio]],"")</f>
        <v/>
      </c>
      <c r="N242" t="str">
        <f>IF(Tabla1[[#This Row],[Cantidad producida]]&gt;Tabla1[[#This Row],[Cantidad teórica]],"SI","")</f>
        <v/>
      </c>
    </row>
    <row r="243" spans="1:14" x14ac:dyDescent="0.25">
      <c r="A243" s="2">
        <v>45853</v>
      </c>
      <c r="B243" s="3">
        <v>0.2638888888888889</v>
      </c>
      <c r="C243" s="3">
        <v>0.58333333333333337</v>
      </c>
      <c r="D243" s="19" t="str">
        <f>+IF(Tabla1[[#This Row],[Hora inicio]]&lt;$B$1,"Mañana","Tarde")</f>
        <v>Mañana</v>
      </c>
      <c r="E243" t="s">
        <v>122</v>
      </c>
      <c r="F243" s="19" t="str">
        <f>IF(Tabla1[[#This Row],[P/LC/CF/CL]]="P",Tabla1[[#This Row],[Hora fin ]]-Tabla1[[#This Row],[Hora inicio]],"")</f>
        <v/>
      </c>
      <c r="G243" s="19">
        <f>Tabla1[[#This Row],[Hora fin ]]-Tabla1[[#This Row],[Hora inicio]]</f>
        <v>0.31944444444444448</v>
      </c>
      <c r="H243" s="16">
        <f>WEEKNUM(Tabla1[[#This Row],[Día]])</f>
        <v>29</v>
      </c>
      <c r="J243" s="16" t="str">
        <f>IFERROR(((HOUR(Tabla1[[#This Row],[Tiempo producción]])*60+MINUTE(Tabla1[[#This Row],[Tiempo producción]]))/60)*$J$1,"")</f>
        <v/>
      </c>
      <c r="K243" s="21" t="str">
        <f>IFERROR(Tabla1[[#This Row],[Cantidad producida]]/Tabla1[[#This Row],[Cantidad teórica]],"")</f>
        <v/>
      </c>
      <c r="L243" s="3"/>
      <c r="M243" s="23">
        <f>IF(Tabla1[[#This Row],[P/LC/CF/CL]]&lt;&gt;"P",Tabla1[[#This Row],[Hora fin ]]-Tabla1[[#This Row],[Hora inicio]],"")</f>
        <v>0.31944444444444448</v>
      </c>
      <c r="N243" t="str">
        <f>IF(Tabla1[[#This Row],[Cantidad producida]]&gt;Tabla1[[#This Row],[Cantidad teórica]],"SI","")</f>
        <v/>
      </c>
    </row>
    <row r="244" spans="1:14" x14ac:dyDescent="0.25">
      <c r="A244" s="2">
        <v>45853</v>
      </c>
      <c r="B244" s="3">
        <v>0.58333333333333337</v>
      </c>
      <c r="C244" s="3">
        <v>0.8125</v>
      </c>
      <c r="D244" s="19" t="str">
        <f>+IF(Tabla1[[#This Row],[Hora inicio]]&lt;$B$1,"Mañana","Tarde")</f>
        <v>Tarde</v>
      </c>
      <c r="E244" t="s">
        <v>122</v>
      </c>
      <c r="F244" s="19" t="str">
        <f>IF(Tabla1[[#This Row],[P/LC/CF/CL]]="P",Tabla1[[#This Row],[Hora fin ]]-Tabla1[[#This Row],[Hora inicio]],"")</f>
        <v/>
      </c>
      <c r="G244" s="19">
        <f>Tabla1[[#This Row],[Hora fin ]]-Tabla1[[#This Row],[Hora inicio]]</f>
        <v>0.22916666666666663</v>
      </c>
      <c r="H244" s="16">
        <f>WEEKNUM(Tabla1[[#This Row],[Día]])</f>
        <v>29</v>
      </c>
      <c r="J244" s="16" t="str">
        <f>IFERROR(((HOUR(Tabla1[[#This Row],[Tiempo producción]])*60+MINUTE(Tabla1[[#This Row],[Tiempo producción]]))/60)*$J$1,"")</f>
        <v/>
      </c>
      <c r="K244" s="21" t="str">
        <f>IFERROR(Tabla1[[#This Row],[Cantidad producida]]/Tabla1[[#This Row],[Cantidad teórica]],"")</f>
        <v/>
      </c>
      <c r="L244" s="3"/>
      <c r="M244" s="23">
        <f>IF(Tabla1[[#This Row],[P/LC/CF/CL]]&lt;&gt;"P",Tabla1[[#This Row],[Hora fin ]]-Tabla1[[#This Row],[Hora inicio]],"")</f>
        <v>0.22916666666666663</v>
      </c>
      <c r="N244" t="str">
        <f>IF(Tabla1[[#This Row],[Cantidad producida]]&gt;Tabla1[[#This Row],[Cantidad teórica]],"SI","")</f>
        <v/>
      </c>
    </row>
    <row r="245" spans="1:14" x14ac:dyDescent="0.25">
      <c r="A245" s="2">
        <v>45854</v>
      </c>
      <c r="B245" s="3">
        <v>0.52777777777777779</v>
      </c>
      <c r="C245" s="3">
        <v>0.57638888888888884</v>
      </c>
      <c r="D245" s="19" t="str">
        <f>+IF(Tabla1[[#This Row],[Hora inicio]]&lt;$B$1,"Mañana","Tarde")</f>
        <v>Mañana</v>
      </c>
      <c r="E245" t="s">
        <v>134</v>
      </c>
      <c r="F245" s="19">
        <f>IF(Tabla1[[#This Row],[P/LC/CF/CL]]="P",Tabla1[[#This Row],[Hora fin ]]-Tabla1[[#This Row],[Hora inicio]],"")</f>
        <v>4.8611111111111049E-2</v>
      </c>
      <c r="G245" s="19">
        <f>Tabla1[[#This Row],[Hora fin ]]-Tabla1[[#This Row],[Hora inicio]]</f>
        <v>4.8611111111111049E-2</v>
      </c>
      <c r="H245" s="16">
        <f>WEEKNUM(Tabla1[[#This Row],[Día]])</f>
        <v>29</v>
      </c>
      <c r="I245" s="8">
        <v>984</v>
      </c>
      <c r="J245" s="16">
        <f>IFERROR(((HOUR(Tabla1[[#This Row],[Tiempo producción]])*60+MINUTE(Tabla1[[#This Row],[Tiempo producción]]))/60)*$J$1,"")</f>
        <v>2100</v>
      </c>
      <c r="K245" s="21">
        <f>IFERROR(Tabla1[[#This Row],[Cantidad producida]]/Tabla1[[#This Row],[Cantidad teórica]],"")</f>
        <v>0.46857142857142858</v>
      </c>
      <c r="L245" s="3"/>
      <c r="M245" s="23" t="str">
        <f>IF(Tabla1[[#This Row],[P/LC/CF/CL]]&lt;&gt;"P",Tabla1[[#This Row],[Hora fin ]]-Tabla1[[#This Row],[Hora inicio]],"")</f>
        <v/>
      </c>
      <c r="N245" t="str">
        <f>IF(Tabla1[[#This Row],[Cantidad producida]]&gt;Tabla1[[#This Row],[Cantidad teórica]],"SI","")</f>
        <v/>
      </c>
    </row>
    <row r="246" spans="1:14" x14ac:dyDescent="0.25">
      <c r="A246" s="2">
        <v>45854</v>
      </c>
      <c r="B246" s="3">
        <v>0.59375</v>
      </c>
      <c r="C246" s="3">
        <v>0.89583333333333337</v>
      </c>
      <c r="D246" s="19" t="str">
        <f>+IF(Tabla1[[#This Row],[Hora inicio]]&lt;$B$1,"Mañana","Tarde")</f>
        <v>Tarde</v>
      </c>
      <c r="E246" t="s">
        <v>134</v>
      </c>
      <c r="F246" s="19">
        <f>IF(Tabla1[[#This Row],[P/LC/CF/CL]]="P",Tabla1[[#This Row],[Hora fin ]]-Tabla1[[#This Row],[Hora inicio]],"")</f>
        <v>0.30208333333333337</v>
      </c>
      <c r="G246" s="19">
        <f>Tabla1[[#This Row],[Hora fin ]]-Tabla1[[#This Row],[Hora inicio]]</f>
        <v>0.30208333333333337</v>
      </c>
      <c r="H246" s="16">
        <f>WEEKNUM(Tabla1[[#This Row],[Día]])</f>
        <v>29</v>
      </c>
      <c r="I246" s="8">
        <v>8807</v>
      </c>
      <c r="J246" s="16">
        <f>IFERROR(((HOUR(Tabla1[[#This Row],[Tiempo producción]])*60+MINUTE(Tabla1[[#This Row],[Tiempo producción]]))/60)*$J$1,"")</f>
        <v>13050</v>
      </c>
      <c r="K246" s="21">
        <f>IFERROR(Tabla1[[#This Row],[Cantidad producida]]/Tabla1[[#This Row],[Cantidad teórica]],"")</f>
        <v>0.67486590038314176</v>
      </c>
      <c r="L246" s="3"/>
      <c r="M246" s="23" t="str">
        <f>IF(Tabla1[[#This Row],[P/LC/CF/CL]]&lt;&gt;"P",Tabla1[[#This Row],[Hora fin ]]-Tabla1[[#This Row],[Hora inicio]],"")</f>
        <v/>
      </c>
      <c r="N246" t="str">
        <f>IF(Tabla1[[#This Row],[Cantidad producida]]&gt;Tabla1[[#This Row],[Cantidad teórica]],"SI","")</f>
        <v/>
      </c>
    </row>
    <row r="247" spans="1:14" x14ac:dyDescent="0.25">
      <c r="A247" s="2">
        <v>45855</v>
      </c>
      <c r="B247" s="3">
        <v>0.28819444444444442</v>
      </c>
      <c r="C247" s="3">
        <v>0.38541666666666669</v>
      </c>
      <c r="D247" s="19" t="str">
        <f>+IF(Tabla1[[#This Row],[Hora inicio]]&lt;$B$1,"Mañana","Tarde")</f>
        <v>Mañana</v>
      </c>
      <c r="E247" t="s">
        <v>134</v>
      </c>
      <c r="F247" s="19">
        <f>IF(Tabla1[[#This Row],[P/LC/CF/CL]]="P",Tabla1[[#This Row],[Hora fin ]]-Tabla1[[#This Row],[Hora inicio]],"")</f>
        <v>9.7222222222222265E-2</v>
      </c>
      <c r="G247" s="19">
        <f>Tabla1[[#This Row],[Hora fin ]]-Tabla1[[#This Row],[Hora inicio]]</f>
        <v>9.7222222222222265E-2</v>
      </c>
      <c r="H247" s="16">
        <f>WEEKNUM(Tabla1[[#This Row],[Día]])</f>
        <v>29</v>
      </c>
      <c r="I247" s="8">
        <v>4326</v>
      </c>
      <c r="J247" s="16">
        <f>IFERROR(((HOUR(Tabla1[[#This Row],[Tiempo producción]])*60+MINUTE(Tabla1[[#This Row],[Tiempo producción]]))/60)*$J$1,"")</f>
        <v>4200</v>
      </c>
      <c r="K247" s="21">
        <f>IFERROR(Tabla1[[#This Row],[Cantidad producida]]/Tabla1[[#This Row],[Cantidad teórica]],"")</f>
        <v>1.03</v>
      </c>
      <c r="L247" s="3"/>
      <c r="M247" s="23" t="str">
        <f>IF(Tabla1[[#This Row],[P/LC/CF/CL]]&lt;&gt;"P",Tabla1[[#This Row],[Hora fin ]]-Tabla1[[#This Row],[Hora inicio]],"")</f>
        <v/>
      </c>
      <c r="N247" t="str">
        <f>IF(Tabla1[[#This Row],[Cantidad producida]]&gt;Tabla1[[#This Row],[Cantidad teórica]],"SI","")</f>
        <v>SI</v>
      </c>
    </row>
    <row r="248" spans="1:14" x14ac:dyDescent="0.25">
      <c r="A248" s="2">
        <v>45855</v>
      </c>
      <c r="B248" s="3">
        <v>0.38541666666666669</v>
      </c>
      <c r="C248" s="3">
        <v>0.5625</v>
      </c>
      <c r="D248" s="19" t="str">
        <f>+IF(Tabla1[[#This Row],[Hora inicio]]&lt;$B$1,"Mañana","Tarde")</f>
        <v>Mañana</v>
      </c>
      <c r="E248" t="s">
        <v>134</v>
      </c>
      <c r="F248" s="19">
        <f>IF(Tabla1[[#This Row],[P/LC/CF/CL]]="P",Tabla1[[#This Row],[Hora fin ]]-Tabla1[[#This Row],[Hora inicio]],"")</f>
        <v>0.17708333333333331</v>
      </c>
      <c r="G248" s="19">
        <f>Tabla1[[#This Row],[Hora fin ]]-Tabla1[[#This Row],[Hora inicio]]</f>
        <v>0.17708333333333331</v>
      </c>
      <c r="H248" s="16">
        <f>WEEKNUM(Tabla1[[#This Row],[Día]])</f>
        <v>29</v>
      </c>
      <c r="I248" s="8">
        <v>7734</v>
      </c>
      <c r="J248" s="16">
        <f>IFERROR(((HOUR(Tabla1[[#This Row],[Tiempo producción]])*60+MINUTE(Tabla1[[#This Row],[Tiempo producción]]))/60)*$J$1,"")</f>
        <v>7650</v>
      </c>
      <c r="K248" s="21">
        <f>IFERROR(Tabla1[[#This Row],[Cantidad producida]]/Tabla1[[#This Row],[Cantidad teórica]],"")</f>
        <v>1.0109803921568628</v>
      </c>
      <c r="L248" s="3"/>
      <c r="M248" s="23" t="str">
        <f>IF(Tabla1[[#This Row],[P/LC/CF/CL]]&lt;&gt;"P",Tabla1[[#This Row],[Hora fin ]]-Tabla1[[#This Row],[Hora inicio]],"")</f>
        <v/>
      </c>
      <c r="N248" t="str">
        <f>IF(Tabla1[[#This Row],[Cantidad producida]]&gt;Tabla1[[#This Row],[Cantidad teórica]],"SI","")</f>
        <v>SI</v>
      </c>
    </row>
    <row r="249" spans="1:14" x14ac:dyDescent="0.25">
      <c r="A249" s="2">
        <v>45855</v>
      </c>
      <c r="B249" s="3">
        <v>0.59375</v>
      </c>
      <c r="C249" s="3">
        <v>0.66319444444444442</v>
      </c>
      <c r="D249" s="19" t="str">
        <f>+IF(Tabla1[[#This Row],[Hora inicio]]&lt;$B$1,"Mañana","Tarde")</f>
        <v>Tarde</v>
      </c>
      <c r="E249" t="s">
        <v>134</v>
      </c>
      <c r="F249" s="19">
        <f>IF(Tabla1[[#This Row],[P/LC/CF/CL]]="P",Tabla1[[#This Row],[Hora fin ]]-Tabla1[[#This Row],[Hora inicio]],"")</f>
        <v>6.944444444444442E-2</v>
      </c>
      <c r="G249" s="19">
        <f>Tabla1[[#This Row],[Hora fin ]]-Tabla1[[#This Row],[Hora inicio]]</f>
        <v>6.944444444444442E-2</v>
      </c>
      <c r="H249" s="16">
        <f>WEEKNUM(Tabla1[[#This Row],[Día]])</f>
        <v>29</v>
      </c>
      <c r="I249" s="8">
        <v>3228</v>
      </c>
      <c r="J249" s="16">
        <f>IFERROR(((HOUR(Tabla1[[#This Row],[Tiempo producción]])*60+MINUTE(Tabla1[[#This Row],[Tiempo producción]]))/60)*$J$1,"")</f>
        <v>3000</v>
      </c>
      <c r="K249" s="21">
        <f>IFERROR(Tabla1[[#This Row],[Cantidad producida]]/Tabla1[[#This Row],[Cantidad teórica]],"")</f>
        <v>1.0760000000000001</v>
      </c>
      <c r="L249" s="3"/>
      <c r="M249" s="23" t="str">
        <f>IF(Tabla1[[#This Row],[P/LC/CF/CL]]&lt;&gt;"P",Tabla1[[#This Row],[Hora fin ]]-Tabla1[[#This Row],[Hora inicio]],"")</f>
        <v/>
      </c>
      <c r="N249" t="str">
        <f>IF(Tabla1[[#This Row],[Cantidad producida]]&gt;Tabla1[[#This Row],[Cantidad teórica]],"SI","")</f>
        <v>SI</v>
      </c>
    </row>
    <row r="250" spans="1:14" x14ac:dyDescent="0.25">
      <c r="A250" s="2">
        <v>45855</v>
      </c>
      <c r="B250" s="3">
        <v>0.67361111111111116</v>
      </c>
      <c r="C250" s="3">
        <v>0.91666666666666663</v>
      </c>
      <c r="D250" s="19" t="str">
        <f>+IF(Tabla1[[#This Row],[Hora inicio]]&lt;$B$1,"Mañana","Tarde")</f>
        <v>Tarde</v>
      </c>
      <c r="E250" t="s">
        <v>122</v>
      </c>
      <c r="F250" s="19" t="str">
        <f>IF(Tabla1[[#This Row],[P/LC/CF/CL]]="P",Tabla1[[#This Row],[Hora fin ]]-Tabla1[[#This Row],[Hora inicio]],"")</f>
        <v/>
      </c>
      <c r="G250" s="19">
        <f>Tabla1[[#This Row],[Hora fin ]]-Tabla1[[#This Row],[Hora inicio]]</f>
        <v>0.24305555555555547</v>
      </c>
      <c r="H250" s="16">
        <f>WEEKNUM(Tabla1[[#This Row],[Día]])</f>
        <v>29</v>
      </c>
      <c r="J250" s="16" t="str">
        <f>IFERROR(((HOUR(Tabla1[[#This Row],[Tiempo producción]])*60+MINUTE(Tabla1[[#This Row],[Tiempo producción]]))/60)*$J$1,"")</f>
        <v/>
      </c>
      <c r="K250" s="21" t="str">
        <f>IFERROR(Tabla1[[#This Row],[Cantidad producida]]/Tabla1[[#This Row],[Cantidad teórica]],"")</f>
        <v/>
      </c>
      <c r="L250" s="3"/>
      <c r="M250" s="23">
        <f>IF(Tabla1[[#This Row],[P/LC/CF/CL]]&lt;&gt;"P",Tabla1[[#This Row],[Hora fin ]]-Tabla1[[#This Row],[Hora inicio]],"")</f>
        <v>0.24305555555555547</v>
      </c>
      <c r="N250" t="str">
        <f>IF(Tabla1[[#This Row],[Cantidad producida]]&gt;Tabla1[[#This Row],[Cantidad teórica]],"SI","")</f>
        <v/>
      </c>
    </row>
    <row r="251" spans="1:14" x14ac:dyDescent="0.25">
      <c r="A251" s="2">
        <v>45856</v>
      </c>
      <c r="B251" s="3">
        <v>0.26041666666666669</v>
      </c>
      <c r="C251" s="3">
        <v>0.38541666666666669</v>
      </c>
      <c r="D251" s="19" t="str">
        <f>+IF(Tabla1[[#This Row],[Hora inicio]]&lt;$B$1,"Mañana","Tarde")</f>
        <v>Mañana</v>
      </c>
      <c r="E251" t="s">
        <v>122</v>
      </c>
      <c r="F251" s="19" t="str">
        <f>IF(Tabla1[[#This Row],[P/LC/CF/CL]]="P",Tabla1[[#This Row],[Hora fin ]]-Tabla1[[#This Row],[Hora inicio]],"")</f>
        <v/>
      </c>
      <c r="G251" s="19">
        <f>Tabla1[[#This Row],[Hora fin ]]-Tabla1[[#This Row],[Hora inicio]]</f>
        <v>0.125</v>
      </c>
      <c r="H251" s="16">
        <f>WEEKNUM(Tabla1[[#This Row],[Día]])</f>
        <v>29</v>
      </c>
      <c r="J251" s="16" t="str">
        <f>IFERROR(((HOUR(Tabla1[[#This Row],[Tiempo producción]])*60+MINUTE(Tabla1[[#This Row],[Tiempo producción]]))/60)*$J$1,"")</f>
        <v/>
      </c>
      <c r="K251" s="21" t="str">
        <f>IFERROR(Tabla1[[#This Row],[Cantidad producida]]/Tabla1[[#This Row],[Cantidad teórica]],"")</f>
        <v/>
      </c>
      <c r="L251" s="3"/>
      <c r="M251" s="23">
        <f>IF(Tabla1[[#This Row],[P/LC/CF/CL]]&lt;&gt;"P",Tabla1[[#This Row],[Hora fin ]]-Tabla1[[#This Row],[Hora inicio]],"")</f>
        <v>0.125</v>
      </c>
      <c r="N251" t="str">
        <f>IF(Tabla1[[#This Row],[Cantidad producida]]&gt;Tabla1[[#This Row],[Cantidad teórica]],"SI","")</f>
        <v/>
      </c>
    </row>
    <row r="252" spans="1:14" x14ac:dyDescent="0.25">
      <c r="A252" s="2">
        <v>45856</v>
      </c>
      <c r="B252" s="3">
        <v>0.38541666666666669</v>
      </c>
      <c r="C252" s="3">
        <v>0.52083333333333337</v>
      </c>
      <c r="D252" s="19" t="str">
        <f>+IF(Tabla1[[#This Row],[Hora inicio]]&lt;$B$1,"Mañana","Tarde")</f>
        <v>Mañana</v>
      </c>
      <c r="E252" t="s">
        <v>123</v>
      </c>
      <c r="F252" s="19" t="str">
        <f>IF(Tabla1[[#This Row],[P/LC/CF/CL]]="P",Tabla1[[#This Row],[Hora fin ]]-Tabla1[[#This Row],[Hora inicio]],"")</f>
        <v/>
      </c>
      <c r="G252" s="19">
        <f>Tabla1[[#This Row],[Hora fin ]]-Tabla1[[#This Row],[Hora inicio]]</f>
        <v>0.13541666666666669</v>
      </c>
      <c r="H252" s="16">
        <f>WEEKNUM(Tabla1[[#This Row],[Día]])</f>
        <v>29</v>
      </c>
      <c r="J252" s="16" t="str">
        <f>IFERROR(((HOUR(Tabla1[[#This Row],[Tiempo producción]])*60+MINUTE(Tabla1[[#This Row],[Tiempo producción]]))/60)*$J$1,"")</f>
        <v/>
      </c>
      <c r="K252" s="21" t="str">
        <f>IFERROR(Tabla1[[#This Row],[Cantidad producida]]/Tabla1[[#This Row],[Cantidad teórica]],"")</f>
        <v/>
      </c>
      <c r="L252" s="3"/>
      <c r="M252" s="23">
        <f>IF(Tabla1[[#This Row],[P/LC/CF/CL]]&lt;&gt;"P",Tabla1[[#This Row],[Hora fin ]]-Tabla1[[#This Row],[Hora inicio]],"")</f>
        <v>0.13541666666666669</v>
      </c>
      <c r="N252" t="str">
        <f>IF(Tabla1[[#This Row],[Cantidad producida]]&gt;Tabla1[[#This Row],[Cantidad teórica]],"SI","")</f>
        <v/>
      </c>
    </row>
    <row r="253" spans="1:14" x14ac:dyDescent="0.25">
      <c r="A253" s="2">
        <v>45859</v>
      </c>
      <c r="B253" s="3">
        <v>0.32291666666666669</v>
      </c>
      <c r="C253" s="3">
        <v>0.56597222222222221</v>
      </c>
      <c r="D253" s="19" t="str">
        <f>+IF(Tabla1[[#This Row],[Hora inicio]]&lt;$B$1,"Mañana","Tarde")</f>
        <v>Mañana</v>
      </c>
      <c r="E253" t="s">
        <v>134</v>
      </c>
      <c r="F253" s="19">
        <f>IF(Tabla1[[#This Row],[P/LC/CF/CL]]="P",Tabla1[[#This Row],[Hora fin ]]-Tabla1[[#This Row],[Hora inicio]],"")</f>
        <v>0.24305555555555552</v>
      </c>
      <c r="G253" s="19">
        <f>Tabla1[[#This Row],[Hora fin ]]-Tabla1[[#This Row],[Hora inicio]]</f>
        <v>0.24305555555555552</v>
      </c>
      <c r="H253" s="16">
        <f>WEEKNUM(Tabla1[[#This Row],[Día]])</f>
        <v>30</v>
      </c>
      <c r="I253" s="8">
        <v>11061</v>
      </c>
      <c r="J253" s="16">
        <f>IFERROR(((HOUR(Tabla1[[#This Row],[Tiempo producción]])*60+MINUTE(Tabla1[[#This Row],[Tiempo producción]]))/60)*$J$1,"")</f>
        <v>10500</v>
      </c>
      <c r="K253" s="21">
        <f>IFERROR(Tabla1[[#This Row],[Cantidad producida]]/Tabla1[[#This Row],[Cantidad teórica]],"")</f>
        <v>1.0534285714285714</v>
      </c>
      <c r="L253" s="3"/>
      <c r="M253" s="23" t="str">
        <f>IF(Tabla1[[#This Row],[P/LC/CF/CL]]&lt;&gt;"P",Tabla1[[#This Row],[Hora fin ]]-Tabla1[[#This Row],[Hora inicio]],"")</f>
        <v/>
      </c>
      <c r="N253" t="str">
        <f>IF(Tabla1[[#This Row],[Cantidad producida]]&gt;Tabla1[[#This Row],[Cantidad teórica]],"SI","")</f>
        <v>SI</v>
      </c>
    </row>
    <row r="254" spans="1:14" x14ac:dyDescent="0.25">
      <c r="A254" s="2">
        <v>45859</v>
      </c>
      <c r="B254" s="3">
        <v>0.56944444444444442</v>
      </c>
      <c r="C254" s="3">
        <v>0.58333333333333337</v>
      </c>
      <c r="D254" s="19" t="str">
        <f>+IF(Tabla1[[#This Row],[Hora inicio]]&lt;$B$1,"Mañana","Tarde")</f>
        <v>Mañana</v>
      </c>
      <c r="E254" t="s">
        <v>124</v>
      </c>
      <c r="F254" s="19" t="str">
        <f>IF(Tabla1[[#This Row],[P/LC/CF/CL]]="P",Tabla1[[#This Row],[Hora fin ]]-Tabla1[[#This Row],[Hora inicio]],"")</f>
        <v/>
      </c>
      <c r="G254" s="19">
        <f>Tabla1[[#This Row],[Hora fin ]]-Tabla1[[#This Row],[Hora inicio]]</f>
        <v>1.3888888888888951E-2</v>
      </c>
      <c r="H254" s="16">
        <f>WEEKNUM(Tabla1[[#This Row],[Día]])</f>
        <v>30</v>
      </c>
      <c r="J254" s="16" t="str">
        <f>IFERROR(((HOUR(Tabla1[[#This Row],[Tiempo producción]])*60+MINUTE(Tabla1[[#This Row],[Tiempo producción]]))/60)*$J$1,"")</f>
        <v/>
      </c>
      <c r="K254" s="21" t="str">
        <f>IFERROR(Tabla1[[#This Row],[Cantidad producida]]/Tabla1[[#This Row],[Cantidad teórica]],"")</f>
        <v/>
      </c>
      <c r="L254" s="3"/>
      <c r="M254" s="23">
        <f>IF(Tabla1[[#This Row],[P/LC/CF/CL]]&lt;&gt;"P",Tabla1[[#This Row],[Hora fin ]]-Tabla1[[#This Row],[Hora inicio]],"")</f>
        <v>1.3888888888888951E-2</v>
      </c>
      <c r="N254" t="str">
        <f>IF(Tabla1[[#This Row],[Cantidad producida]]&gt;Tabla1[[#This Row],[Cantidad teórica]],"SI","")</f>
        <v/>
      </c>
    </row>
    <row r="255" spans="1:14" x14ac:dyDescent="0.25">
      <c r="A255" s="2">
        <v>45859</v>
      </c>
      <c r="B255" s="3">
        <v>0.60416666666666663</v>
      </c>
      <c r="C255" s="3">
        <v>0.83333333333333337</v>
      </c>
      <c r="D255" s="19" t="str">
        <f>+IF(Tabla1[[#This Row],[Hora inicio]]&lt;$B$1,"Mañana","Tarde")</f>
        <v>Tarde</v>
      </c>
      <c r="E255" t="s">
        <v>134</v>
      </c>
      <c r="F255" s="19">
        <f>IF(Tabla1[[#This Row],[P/LC/CF/CL]]="P",Tabla1[[#This Row],[Hora fin ]]-Tabla1[[#This Row],[Hora inicio]],"")</f>
        <v>0.22916666666666674</v>
      </c>
      <c r="G255" s="19">
        <f>Tabla1[[#This Row],[Hora fin ]]-Tabla1[[#This Row],[Hora inicio]]</f>
        <v>0.22916666666666674</v>
      </c>
      <c r="H255" s="16">
        <f>WEEKNUM(Tabla1[[#This Row],[Día]])</f>
        <v>30</v>
      </c>
      <c r="I255" s="8">
        <v>11484</v>
      </c>
      <c r="J255" s="16">
        <f>IFERROR(((HOUR(Tabla1[[#This Row],[Tiempo producción]])*60+MINUTE(Tabla1[[#This Row],[Tiempo producción]]))/60)*$J$1,"")</f>
        <v>9900</v>
      </c>
      <c r="K255" s="21">
        <f>IFERROR(Tabla1[[#This Row],[Cantidad producida]]/Tabla1[[#This Row],[Cantidad teórica]],"")</f>
        <v>1.1599999999999999</v>
      </c>
      <c r="L255" s="3"/>
      <c r="M255" s="23" t="str">
        <f>IF(Tabla1[[#This Row],[P/LC/CF/CL]]&lt;&gt;"P",Tabla1[[#This Row],[Hora fin ]]-Tabla1[[#This Row],[Hora inicio]],"")</f>
        <v/>
      </c>
      <c r="N255" t="str">
        <f>IF(Tabla1[[#This Row],[Cantidad producida]]&gt;Tabla1[[#This Row],[Cantidad teórica]],"SI","")</f>
        <v>SI</v>
      </c>
    </row>
    <row r="256" spans="1:14" x14ac:dyDescent="0.25">
      <c r="A256" s="2">
        <v>45860</v>
      </c>
      <c r="B256" s="3">
        <v>0.26041666666666669</v>
      </c>
      <c r="C256" s="3">
        <v>0.27777777777777779</v>
      </c>
      <c r="D256" s="19" t="str">
        <f>+IF(Tabla1[[#This Row],[Hora inicio]]&lt;$B$1,"Mañana","Tarde")</f>
        <v>Mañana</v>
      </c>
      <c r="E256" t="s">
        <v>124</v>
      </c>
      <c r="F256" s="19" t="str">
        <f>IF(Tabla1[[#This Row],[P/LC/CF/CL]]="P",Tabla1[[#This Row],[Hora fin ]]-Tabla1[[#This Row],[Hora inicio]],"")</f>
        <v/>
      </c>
      <c r="G256" s="19">
        <f>Tabla1[[#This Row],[Hora fin ]]-Tabla1[[#This Row],[Hora inicio]]</f>
        <v>1.7361111111111105E-2</v>
      </c>
      <c r="H256" s="16">
        <f>WEEKNUM(Tabla1[[#This Row],[Día]])</f>
        <v>30</v>
      </c>
      <c r="J256" s="16" t="str">
        <f>IFERROR(((HOUR(Tabla1[[#This Row],[Tiempo producción]])*60+MINUTE(Tabla1[[#This Row],[Tiempo producción]]))/60)*$J$1,"")</f>
        <v/>
      </c>
      <c r="K256" s="21" t="str">
        <f>IFERROR(Tabla1[[#This Row],[Cantidad producida]]/Tabla1[[#This Row],[Cantidad teórica]],"")</f>
        <v/>
      </c>
      <c r="L256" s="3"/>
      <c r="M256" s="23">
        <f>IF(Tabla1[[#This Row],[P/LC/CF/CL]]&lt;&gt;"P",Tabla1[[#This Row],[Hora fin ]]-Tabla1[[#This Row],[Hora inicio]],"")</f>
        <v>1.7361111111111105E-2</v>
      </c>
      <c r="N256" t="str">
        <f>IF(Tabla1[[#This Row],[Cantidad producida]]&gt;Tabla1[[#This Row],[Cantidad teórica]],"SI","")</f>
        <v/>
      </c>
    </row>
    <row r="257" spans="1:14" x14ac:dyDescent="0.25">
      <c r="A257" s="2">
        <v>45860</v>
      </c>
      <c r="B257" s="3">
        <v>0.28819444444444442</v>
      </c>
      <c r="C257" s="3">
        <v>0.54513888888888884</v>
      </c>
      <c r="D257" s="19" t="str">
        <f>+IF(Tabla1[[#This Row],[Hora inicio]]&lt;$B$1,"Mañana","Tarde")</f>
        <v>Mañana</v>
      </c>
      <c r="E257" t="s">
        <v>134</v>
      </c>
      <c r="F257" s="19">
        <f>IF(Tabla1[[#This Row],[P/LC/CF/CL]]="P",Tabla1[[#This Row],[Hora fin ]]-Tabla1[[#This Row],[Hora inicio]],"")</f>
        <v>0.25694444444444442</v>
      </c>
      <c r="G257" s="19">
        <f>Tabla1[[#This Row],[Hora fin ]]-Tabla1[[#This Row],[Hora inicio]]</f>
        <v>0.25694444444444442</v>
      </c>
      <c r="H257" s="16">
        <f>WEEKNUM(Tabla1[[#This Row],[Día]])</f>
        <v>30</v>
      </c>
      <c r="I257" s="8">
        <v>11490</v>
      </c>
      <c r="J257" s="16">
        <f>IFERROR(((HOUR(Tabla1[[#This Row],[Tiempo producción]])*60+MINUTE(Tabla1[[#This Row],[Tiempo producción]]))/60)*$J$1,"")</f>
        <v>11100</v>
      </c>
      <c r="K257" s="21">
        <f>IFERROR(Tabla1[[#This Row],[Cantidad producida]]/Tabla1[[#This Row],[Cantidad teórica]],"")</f>
        <v>1.0351351351351352</v>
      </c>
      <c r="L257" s="3"/>
      <c r="M257" s="23" t="str">
        <f>IF(Tabla1[[#This Row],[P/LC/CF/CL]]&lt;&gt;"P",Tabla1[[#This Row],[Hora fin ]]-Tabla1[[#This Row],[Hora inicio]],"")</f>
        <v/>
      </c>
      <c r="N257" t="str">
        <f>IF(Tabla1[[#This Row],[Cantidad producida]]&gt;Tabla1[[#This Row],[Cantidad teórica]],"SI","")</f>
        <v>SI</v>
      </c>
    </row>
    <row r="258" spans="1:14" x14ac:dyDescent="0.25">
      <c r="A258" s="2">
        <v>45860</v>
      </c>
      <c r="B258" s="3">
        <v>0.5625</v>
      </c>
      <c r="C258" s="3">
        <v>0.57291666666666663</v>
      </c>
      <c r="D258" s="19" t="str">
        <f>+IF(Tabla1[[#This Row],[Hora inicio]]&lt;$B$1,"Mañana","Tarde")</f>
        <v>Mañana</v>
      </c>
      <c r="E258" t="s">
        <v>124</v>
      </c>
      <c r="F258" s="19" t="str">
        <f>IF(Tabla1[[#This Row],[P/LC/CF/CL]]="P",Tabla1[[#This Row],[Hora fin ]]-Tabla1[[#This Row],[Hora inicio]],"")</f>
        <v/>
      </c>
      <c r="G258" s="19">
        <f>Tabla1[[#This Row],[Hora fin ]]-Tabla1[[#This Row],[Hora inicio]]</f>
        <v>1.041666666666663E-2</v>
      </c>
      <c r="H258" s="16">
        <f>WEEKNUM(Tabla1[[#This Row],[Día]])</f>
        <v>30</v>
      </c>
      <c r="J258" s="16" t="str">
        <f>IFERROR(((HOUR(Tabla1[[#This Row],[Tiempo producción]])*60+MINUTE(Tabla1[[#This Row],[Tiempo producción]]))/60)*$J$1,"")</f>
        <v/>
      </c>
      <c r="K258" s="21" t="str">
        <f>IFERROR(Tabla1[[#This Row],[Cantidad producida]]/Tabla1[[#This Row],[Cantidad teórica]],"")</f>
        <v/>
      </c>
      <c r="L258" s="3"/>
      <c r="M258" s="23">
        <f>IF(Tabla1[[#This Row],[P/LC/CF/CL]]&lt;&gt;"P",Tabla1[[#This Row],[Hora fin ]]-Tabla1[[#This Row],[Hora inicio]],"")</f>
        <v>1.041666666666663E-2</v>
      </c>
      <c r="N258" t="str">
        <f>IF(Tabla1[[#This Row],[Cantidad producida]]&gt;Tabla1[[#This Row],[Cantidad teórica]],"SI","")</f>
        <v/>
      </c>
    </row>
    <row r="259" spans="1:14" x14ac:dyDescent="0.25">
      <c r="A259" s="2">
        <v>45860</v>
      </c>
      <c r="B259" s="3">
        <v>0.59375</v>
      </c>
      <c r="C259" s="3">
        <v>0.85763888888888884</v>
      </c>
      <c r="D259" s="19" t="str">
        <f>+IF(Tabla1[[#This Row],[Hora inicio]]&lt;$B$1,"Mañana","Tarde")</f>
        <v>Tarde</v>
      </c>
      <c r="E259" t="s">
        <v>134</v>
      </c>
      <c r="F259" s="19">
        <f>IF(Tabla1[[#This Row],[P/LC/CF/CL]]="P",Tabla1[[#This Row],[Hora fin ]]-Tabla1[[#This Row],[Hora inicio]],"")</f>
        <v>0.26388888888888884</v>
      </c>
      <c r="G259" s="19">
        <f>Tabla1[[#This Row],[Hora fin ]]-Tabla1[[#This Row],[Hora inicio]]</f>
        <v>0.26388888888888884</v>
      </c>
      <c r="H259" s="16">
        <f>WEEKNUM(Tabla1[[#This Row],[Día]])</f>
        <v>30</v>
      </c>
      <c r="I259" s="8">
        <v>11538</v>
      </c>
      <c r="J259" s="16">
        <f>IFERROR(((HOUR(Tabla1[[#This Row],[Tiempo producción]])*60+MINUTE(Tabla1[[#This Row],[Tiempo producción]]))/60)*$J$1,"")</f>
        <v>11400</v>
      </c>
      <c r="K259" s="21">
        <f>IFERROR(Tabla1[[#This Row],[Cantidad producida]]/Tabla1[[#This Row],[Cantidad teórica]],"")</f>
        <v>1.0121052631578948</v>
      </c>
      <c r="L259" s="3"/>
      <c r="M259" s="23" t="str">
        <f>IF(Tabla1[[#This Row],[P/LC/CF/CL]]&lt;&gt;"P",Tabla1[[#This Row],[Hora fin ]]-Tabla1[[#This Row],[Hora inicio]],"")</f>
        <v/>
      </c>
      <c r="N259" t="str">
        <f>IF(Tabla1[[#This Row],[Cantidad producida]]&gt;Tabla1[[#This Row],[Cantidad teórica]],"SI","")</f>
        <v>SI</v>
      </c>
    </row>
    <row r="260" spans="1:14" x14ac:dyDescent="0.25">
      <c r="A260" s="2">
        <v>45860</v>
      </c>
      <c r="B260" s="3">
        <v>0.85763888888888884</v>
      </c>
      <c r="C260" s="3">
        <v>0.88194444444444442</v>
      </c>
      <c r="D260" s="19" t="str">
        <f>+IF(Tabla1[[#This Row],[Hora inicio]]&lt;$B$1,"Mañana","Tarde")</f>
        <v>Tarde</v>
      </c>
      <c r="E260" t="s">
        <v>124</v>
      </c>
      <c r="F260" s="19" t="str">
        <f>IF(Tabla1[[#This Row],[P/LC/CF/CL]]="P",Tabla1[[#This Row],[Hora fin ]]-Tabla1[[#This Row],[Hora inicio]],"")</f>
        <v/>
      </c>
      <c r="G260" s="19">
        <f>Tabla1[[#This Row],[Hora fin ]]-Tabla1[[#This Row],[Hora inicio]]</f>
        <v>2.430555555555558E-2</v>
      </c>
      <c r="H260" s="16">
        <f>WEEKNUM(Tabla1[[#This Row],[Día]])</f>
        <v>30</v>
      </c>
      <c r="J260" s="16" t="str">
        <f>IFERROR(((HOUR(Tabla1[[#This Row],[Tiempo producción]])*60+MINUTE(Tabla1[[#This Row],[Tiempo producción]]))/60)*$J$1,"")</f>
        <v/>
      </c>
      <c r="K260" s="21" t="str">
        <f>IFERROR(Tabla1[[#This Row],[Cantidad producida]]/Tabla1[[#This Row],[Cantidad teórica]],"")</f>
        <v/>
      </c>
      <c r="L260" s="3"/>
      <c r="M260" s="23">
        <f>IF(Tabla1[[#This Row],[P/LC/CF/CL]]&lt;&gt;"P",Tabla1[[#This Row],[Hora fin ]]-Tabla1[[#This Row],[Hora inicio]],"")</f>
        <v>2.430555555555558E-2</v>
      </c>
      <c r="N260" t="str">
        <f>IF(Tabla1[[#This Row],[Cantidad producida]]&gt;Tabla1[[#This Row],[Cantidad teórica]],"SI","")</f>
        <v/>
      </c>
    </row>
    <row r="261" spans="1:14" x14ac:dyDescent="0.25">
      <c r="A261" s="2">
        <v>45860</v>
      </c>
      <c r="B261" s="3">
        <v>0.88194444444444442</v>
      </c>
      <c r="C261" s="3">
        <v>0.89236111111111116</v>
      </c>
      <c r="D261" s="19" t="str">
        <f>+IF(Tabla1[[#This Row],[Hora inicio]]&lt;$B$1,"Mañana","Tarde")</f>
        <v>Tarde</v>
      </c>
      <c r="E261" t="s">
        <v>134</v>
      </c>
      <c r="F261" s="19">
        <f>IF(Tabla1[[#This Row],[P/LC/CF/CL]]="P",Tabla1[[#This Row],[Hora fin ]]-Tabla1[[#This Row],[Hora inicio]],"")</f>
        <v>1.0416666666666741E-2</v>
      </c>
      <c r="G261" s="19">
        <f>Tabla1[[#This Row],[Hora fin ]]-Tabla1[[#This Row],[Hora inicio]]</f>
        <v>1.0416666666666741E-2</v>
      </c>
      <c r="H261" s="16">
        <f>WEEKNUM(Tabla1[[#This Row],[Día]])</f>
        <v>30</v>
      </c>
      <c r="I261" s="8">
        <v>1923</v>
      </c>
      <c r="J261" s="16">
        <f>IFERROR(((HOUR(Tabla1[[#This Row],[Tiempo producción]])*60+MINUTE(Tabla1[[#This Row],[Tiempo producción]]))/60)*$J$1,"")</f>
        <v>450</v>
      </c>
      <c r="K261" s="21">
        <f>IFERROR(Tabla1[[#This Row],[Cantidad producida]]/Tabla1[[#This Row],[Cantidad teórica]],"")</f>
        <v>4.2733333333333334</v>
      </c>
      <c r="L261" s="3"/>
      <c r="M261" s="23" t="str">
        <f>IF(Tabla1[[#This Row],[P/LC/CF/CL]]&lt;&gt;"P",Tabla1[[#This Row],[Hora fin ]]-Tabla1[[#This Row],[Hora inicio]],"")</f>
        <v/>
      </c>
      <c r="N261" t="str">
        <f>IF(Tabla1[[#This Row],[Cantidad producida]]&gt;Tabla1[[#This Row],[Cantidad teórica]],"SI","")</f>
        <v>SI</v>
      </c>
    </row>
    <row r="262" spans="1:14" x14ac:dyDescent="0.25">
      <c r="A262" s="2">
        <v>45861</v>
      </c>
      <c r="B262" s="3">
        <v>0.29166666666666669</v>
      </c>
      <c r="C262" s="3">
        <v>0.40625</v>
      </c>
      <c r="D262" s="19" t="str">
        <f>+IF(Tabla1[[#This Row],[Hora inicio]]&lt;$B$1,"Mañana","Tarde")</f>
        <v>Mañana</v>
      </c>
      <c r="E262" t="s">
        <v>134</v>
      </c>
      <c r="F262" s="19">
        <f>IF(Tabla1[[#This Row],[P/LC/CF/CL]]="P",Tabla1[[#This Row],[Hora fin ]]-Tabla1[[#This Row],[Hora inicio]],"")</f>
        <v>0.11458333333333331</v>
      </c>
      <c r="G262" s="19">
        <f>Tabla1[[#This Row],[Hora fin ]]-Tabla1[[#This Row],[Hora inicio]]</f>
        <v>0.11458333333333331</v>
      </c>
      <c r="H262" s="16">
        <f>WEEKNUM(Tabla1[[#This Row],[Día]])</f>
        <v>30</v>
      </c>
      <c r="I262" s="8">
        <v>6360</v>
      </c>
      <c r="J262" s="16">
        <f>IFERROR(((HOUR(Tabla1[[#This Row],[Tiempo producción]])*60+MINUTE(Tabla1[[#This Row],[Tiempo producción]]))/60)*$J$1,"")</f>
        <v>4950</v>
      </c>
      <c r="K262" s="21">
        <f>IFERROR(Tabla1[[#This Row],[Cantidad producida]]/Tabla1[[#This Row],[Cantidad teórica]],"")</f>
        <v>1.2848484848484849</v>
      </c>
      <c r="L262" s="3"/>
      <c r="M262" s="23" t="str">
        <f>IF(Tabla1[[#This Row],[P/LC/CF/CL]]&lt;&gt;"P",Tabla1[[#This Row],[Hora fin ]]-Tabla1[[#This Row],[Hora inicio]],"")</f>
        <v/>
      </c>
      <c r="N262" t="str">
        <f>IF(Tabla1[[#This Row],[Cantidad producida]]&gt;Tabla1[[#This Row],[Cantidad teórica]],"SI","")</f>
        <v>SI</v>
      </c>
    </row>
    <row r="263" spans="1:14" x14ac:dyDescent="0.25">
      <c r="A263" s="2">
        <v>45861</v>
      </c>
      <c r="B263" s="3">
        <v>0.41666666666666669</v>
      </c>
      <c r="C263" s="3">
        <v>0.42708333333333331</v>
      </c>
      <c r="D263" s="19" t="str">
        <f>+IF(Tabla1[[#This Row],[Hora inicio]]&lt;$B$1,"Mañana","Tarde")</f>
        <v>Mañana</v>
      </c>
      <c r="E263" t="s">
        <v>124</v>
      </c>
      <c r="F263" s="19" t="str">
        <f>IF(Tabla1[[#This Row],[P/LC/CF/CL]]="P",Tabla1[[#This Row],[Hora fin ]]-Tabla1[[#This Row],[Hora inicio]],"")</f>
        <v/>
      </c>
      <c r="G263" s="19">
        <f>Tabla1[[#This Row],[Hora fin ]]-Tabla1[[#This Row],[Hora inicio]]</f>
        <v>1.041666666666663E-2</v>
      </c>
      <c r="H263" s="16">
        <f>WEEKNUM(Tabla1[[#This Row],[Día]])</f>
        <v>30</v>
      </c>
      <c r="J263" s="16" t="str">
        <f>IFERROR(((HOUR(Tabla1[[#This Row],[Tiempo producción]])*60+MINUTE(Tabla1[[#This Row],[Tiempo producción]]))/60)*$J$1,"")</f>
        <v/>
      </c>
      <c r="K263" s="21" t="str">
        <f>IFERROR(Tabla1[[#This Row],[Cantidad producida]]/Tabla1[[#This Row],[Cantidad teórica]],"")</f>
        <v/>
      </c>
      <c r="L263" s="3"/>
      <c r="M263" s="23">
        <f>IF(Tabla1[[#This Row],[P/LC/CF/CL]]&lt;&gt;"P",Tabla1[[#This Row],[Hora fin ]]-Tabla1[[#This Row],[Hora inicio]],"")</f>
        <v>1.041666666666663E-2</v>
      </c>
      <c r="N263" t="str">
        <f>IF(Tabla1[[#This Row],[Cantidad producida]]&gt;Tabla1[[#This Row],[Cantidad teórica]],"SI","")</f>
        <v/>
      </c>
    </row>
    <row r="264" spans="1:14" x14ac:dyDescent="0.25">
      <c r="A264" s="2">
        <v>45861</v>
      </c>
      <c r="B264" s="3">
        <v>0.47916666666666669</v>
      </c>
      <c r="C264" s="3">
        <v>0.57291666666666663</v>
      </c>
      <c r="D264" s="19" t="str">
        <f>+IF(Tabla1[[#This Row],[Hora inicio]]&lt;$B$1,"Mañana","Tarde")</f>
        <v>Mañana</v>
      </c>
      <c r="E264" t="s">
        <v>134</v>
      </c>
      <c r="F264" s="19">
        <f>IF(Tabla1[[#This Row],[P/LC/CF/CL]]="P",Tabla1[[#This Row],[Hora fin ]]-Tabla1[[#This Row],[Hora inicio]],"")</f>
        <v>9.3749999999999944E-2</v>
      </c>
      <c r="G264" s="19">
        <f>Tabla1[[#This Row],[Hora fin ]]-Tabla1[[#This Row],[Hora inicio]]</f>
        <v>9.3749999999999944E-2</v>
      </c>
      <c r="H264" s="16">
        <f>WEEKNUM(Tabla1[[#This Row],[Día]])</f>
        <v>30</v>
      </c>
      <c r="I264" s="8">
        <v>4190</v>
      </c>
      <c r="J264" s="16">
        <f>IFERROR(((HOUR(Tabla1[[#This Row],[Tiempo producción]])*60+MINUTE(Tabla1[[#This Row],[Tiempo producción]]))/60)*$J$1,"")</f>
        <v>4050</v>
      </c>
      <c r="K264" s="21">
        <f>IFERROR(Tabla1[[#This Row],[Cantidad producida]]/Tabla1[[#This Row],[Cantidad teórica]],"")</f>
        <v>1.0345679012345679</v>
      </c>
      <c r="L264" s="3"/>
      <c r="M264" s="23" t="str">
        <f>IF(Tabla1[[#This Row],[P/LC/CF/CL]]&lt;&gt;"P",Tabla1[[#This Row],[Hora fin ]]-Tabla1[[#This Row],[Hora inicio]],"")</f>
        <v/>
      </c>
      <c r="N264" t="str">
        <f>IF(Tabla1[[#This Row],[Cantidad producida]]&gt;Tabla1[[#This Row],[Cantidad teórica]],"SI","")</f>
        <v>SI</v>
      </c>
    </row>
    <row r="265" spans="1:14" x14ac:dyDescent="0.25">
      <c r="A265" s="2">
        <v>45861</v>
      </c>
      <c r="B265" s="3">
        <v>0.59375</v>
      </c>
      <c r="C265" s="3">
        <v>0.625</v>
      </c>
      <c r="D265" s="19" t="str">
        <f>+IF(Tabla1[[#This Row],[Hora inicio]]&lt;$B$1,"Mañana","Tarde")</f>
        <v>Tarde</v>
      </c>
      <c r="E265" t="s">
        <v>134</v>
      </c>
      <c r="F265" s="19">
        <f>IF(Tabla1[[#This Row],[P/LC/CF/CL]]="P",Tabla1[[#This Row],[Hora fin ]]-Tabla1[[#This Row],[Hora inicio]],"")</f>
        <v>3.125E-2</v>
      </c>
      <c r="G265" s="19">
        <f>Tabla1[[#This Row],[Hora fin ]]-Tabla1[[#This Row],[Hora inicio]]</f>
        <v>3.125E-2</v>
      </c>
      <c r="H265" s="16">
        <f>WEEKNUM(Tabla1[[#This Row],[Día]])</f>
        <v>30</v>
      </c>
      <c r="I265" s="8">
        <v>1053</v>
      </c>
      <c r="J265" s="16">
        <f>IFERROR(((HOUR(Tabla1[[#This Row],[Tiempo producción]])*60+MINUTE(Tabla1[[#This Row],[Tiempo producción]]))/60)*$J$1,"")</f>
        <v>1350</v>
      </c>
      <c r="K265" s="21">
        <f>IFERROR(Tabla1[[#This Row],[Cantidad producida]]/Tabla1[[#This Row],[Cantidad teórica]],"")</f>
        <v>0.78</v>
      </c>
      <c r="L265" s="3"/>
      <c r="M265" s="23" t="str">
        <f>IF(Tabla1[[#This Row],[P/LC/CF/CL]]&lt;&gt;"P",Tabla1[[#This Row],[Hora fin ]]-Tabla1[[#This Row],[Hora inicio]],"")</f>
        <v/>
      </c>
      <c r="N265" t="str">
        <f>IF(Tabla1[[#This Row],[Cantidad producida]]&gt;Tabla1[[#This Row],[Cantidad teórica]],"SI","")</f>
        <v/>
      </c>
    </row>
    <row r="266" spans="1:14" x14ac:dyDescent="0.25">
      <c r="A266" s="2">
        <v>45863</v>
      </c>
      <c r="B266" s="3">
        <v>0.2638888888888889</v>
      </c>
      <c r="C266" s="3">
        <v>0.28125</v>
      </c>
      <c r="D266" s="19" t="str">
        <f>+IF(Tabla1[[#This Row],[Hora inicio]]&lt;$B$1,"Mañana","Tarde")</f>
        <v>Mañana</v>
      </c>
      <c r="E266" t="s">
        <v>134</v>
      </c>
      <c r="F266" s="19">
        <f>IF(Tabla1[[#This Row],[P/LC/CF/CL]]="P",Tabla1[[#This Row],[Hora fin ]]-Tabla1[[#This Row],[Hora inicio]],"")</f>
        <v>1.7361111111111105E-2</v>
      </c>
      <c r="G266" s="19">
        <f>Tabla1[[#This Row],[Hora fin ]]-Tabla1[[#This Row],[Hora inicio]]</f>
        <v>1.7361111111111105E-2</v>
      </c>
      <c r="H266" s="16">
        <f>WEEKNUM(Tabla1[[#This Row],[Día]])</f>
        <v>30</v>
      </c>
      <c r="I266" s="8">
        <v>1073</v>
      </c>
      <c r="J266" s="16">
        <f>IFERROR(((HOUR(Tabla1[[#This Row],[Tiempo producción]])*60+MINUTE(Tabla1[[#This Row],[Tiempo producción]]))/60)*$J$1,"")</f>
        <v>750</v>
      </c>
      <c r="K266" s="21">
        <f>IFERROR(Tabla1[[#This Row],[Cantidad producida]]/Tabla1[[#This Row],[Cantidad teórica]],"")</f>
        <v>1.4306666666666668</v>
      </c>
      <c r="L266" s="3"/>
      <c r="M266" s="23" t="str">
        <f>IF(Tabla1[[#This Row],[P/LC/CF/CL]]&lt;&gt;"P",Tabla1[[#This Row],[Hora fin ]]-Tabla1[[#This Row],[Hora inicio]],"")</f>
        <v/>
      </c>
      <c r="N266" t="str">
        <f>IF(Tabla1[[#This Row],[Cantidad producida]]&gt;Tabla1[[#This Row],[Cantidad teórica]],"SI","")</f>
        <v>SI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0D400-72A1-4DD0-8F97-FE55516720D6}">
  <sheetPr>
    <tabColor theme="0"/>
  </sheetPr>
  <dimension ref="A1:L343"/>
  <sheetViews>
    <sheetView topLeftCell="A2" zoomScale="116" workbookViewId="0">
      <selection activeCell="F3" sqref="F3"/>
    </sheetView>
  </sheetViews>
  <sheetFormatPr defaultColWidth="11.42578125" defaultRowHeight="15" x14ac:dyDescent="0.25"/>
  <cols>
    <col min="1" max="1" width="11.140625" style="2" bestFit="1" customWidth="1"/>
    <col min="3" max="3" width="19.42578125" customWidth="1"/>
    <col min="4" max="4" width="16.7109375" style="15" customWidth="1"/>
    <col min="5" max="5" width="13.5703125" style="15" customWidth="1"/>
    <col min="6" max="6" width="15.140625" style="15" customWidth="1"/>
    <col min="7" max="7" width="26.42578125" style="15" bestFit="1" customWidth="1"/>
    <col min="8" max="8" width="26.42578125" customWidth="1"/>
    <col min="9" max="9" width="10.85546875" style="15"/>
    <col min="10" max="10" width="10.85546875" style="16"/>
    <col min="11" max="11" width="11.42578125" style="25" hidden="1" customWidth="1"/>
  </cols>
  <sheetData>
    <row r="1" spans="1:11" x14ac:dyDescent="0.25">
      <c r="C1" s="8"/>
      <c r="D1" s="16">
        <v>1800</v>
      </c>
      <c r="E1" s="21"/>
      <c r="F1" s="19">
        <v>0.625</v>
      </c>
    </row>
    <row r="2" spans="1:11" x14ac:dyDescent="0.25">
      <c r="A2" s="2" t="s">
        <v>149</v>
      </c>
      <c r="B2" t="s">
        <v>150</v>
      </c>
      <c r="C2" t="s">
        <v>111</v>
      </c>
      <c r="D2" s="15" t="s">
        <v>112</v>
      </c>
      <c r="E2" s="15" t="s">
        <v>113</v>
      </c>
      <c r="F2" s="15" t="s">
        <v>114</v>
      </c>
      <c r="G2" s="15" t="s">
        <v>151</v>
      </c>
      <c r="H2" t="s">
        <v>122</v>
      </c>
      <c r="I2" s="15" t="s">
        <v>117</v>
      </c>
      <c r="J2" s="18" t="s">
        <v>0</v>
      </c>
      <c r="K2" s="26" t="s">
        <v>152</v>
      </c>
    </row>
    <row r="3" spans="1:11" x14ac:dyDescent="0.25">
      <c r="A3" s="2">
        <v>45684</v>
      </c>
      <c r="B3" s="5">
        <f>SUMIFS('paradas-disp'!F:F,'paradas-disp'!A:A,Tabla3[[#This Row],[Fecha]])</f>
        <v>0</v>
      </c>
      <c r="D3" s="15">
        <f>IF(Tabla3[[#This Row],[Fecha]]&lt;53,"",IFERROR(((HOUR(Tabla3[[#This Row],[Horas]])*60+MINUTE(Tabla3[[#This Row],[Horas]]))/60)*$D$1,""))</f>
        <v>0</v>
      </c>
      <c r="E3" s="22" t="str">
        <f>IFERROR(Tabla3[[#This Row],[Cantidad producida]]/Tabla3[[#This Row],[Cantidad teórica]],"")</f>
        <v/>
      </c>
      <c r="F3" s="22">
        <f>IF(Tabla3[[#This Row],[Fecha]]&lt;53,"",IFERROR(Tabla3[[#This Row],[Horas]]/$F$1,""))</f>
        <v>0</v>
      </c>
      <c r="G3" s="15" t="str">
        <f>IF(Tabla3[[#This Row],[Disponibilidad]]="","",IF(Tabla3[[#This Row],[Disponibilidad]]&gt;1,"NO",""))</f>
        <v/>
      </c>
      <c r="H3" t="str">
        <f>IFERROR(IF(VLOOKUP(Tabla3[[#This Row],[Fecha]],Tabla1[[Día]:[P/LC/CF/CL]],5,FALSE)="LC","SI",""),"")</f>
        <v/>
      </c>
      <c r="I3" s="22" t="str">
        <f>IFERROR(Tabla3[[#This Row],[Disponibilidad]]*Tabla3[[#This Row],[Rendimiento]], IF(Tabla3[[#This Row],[LC]]="SI", 0, "No"))</f>
        <v>No</v>
      </c>
      <c r="J3" s="16" t="str">
        <f>IF(Tabla3[[#This Row],[OEE]]="No","",WEEKNUM(Tabla3[[#This Row],[Fecha]]))</f>
        <v/>
      </c>
      <c r="K3" s="27" t="str">
        <f>IFERROR(IF(Tabla3[[#This Row],[OEE]]&lt;&gt;"No",Tabla3[[#This Row],[OEE]]/Tabla3[[#This Row],[Disponibilidad]],""),0)</f>
        <v/>
      </c>
    </row>
    <row r="4" spans="1:11" x14ac:dyDescent="0.25">
      <c r="A4" s="2">
        <v>45685</v>
      </c>
      <c r="B4" s="5">
        <f>SUMIFS('paradas-disp'!F:F,'paradas-disp'!A:A,Tabla3[[#This Row],[Fecha]])</f>
        <v>0</v>
      </c>
      <c r="D4" s="15">
        <f>IF(Tabla3[[#This Row],[Fecha]]&lt;53,"",IFERROR(((HOUR(Tabla3[[#This Row],[Horas]])*60+MINUTE(Tabla3[[#This Row],[Horas]]))/60)*$D$1,""))</f>
        <v>0</v>
      </c>
      <c r="E4" s="22" t="str">
        <f>IFERROR(Tabla3[[#This Row],[Cantidad producida]]/Tabla3[[#This Row],[Cantidad teórica]],"")</f>
        <v/>
      </c>
      <c r="F4" s="22">
        <f>IF(Tabla3[[#This Row],[Fecha]]&lt;53,"",IFERROR(Tabla3[[#This Row],[Horas]]/$F$1,""))</f>
        <v>0</v>
      </c>
      <c r="G4" s="15" t="str">
        <f>IF(Tabla3[[#This Row],[Disponibilidad]]="","",IF(Tabla3[[#This Row],[Disponibilidad]]&gt;1,"NO",""))</f>
        <v/>
      </c>
      <c r="H4" t="str">
        <f>IFERROR(IF(VLOOKUP(Tabla3[[#This Row],[Fecha]],Tabla1[[Día]:[P/LC/CF/CL]],5,FALSE)="LC","SI",""),"")</f>
        <v/>
      </c>
      <c r="I4" s="22" t="str">
        <f>IFERROR(Tabla3[[#This Row],[Disponibilidad]]*Tabla3[[#This Row],[Rendimiento]], IF(Tabla3[[#This Row],[LC]]="SI", 0, "No"))</f>
        <v>No</v>
      </c>
      <c r="J4" s="16" t="str">
        <f>IF(Tabla3[[#This Row],[OEE]]="No","",WEEKNUM(Tabla3[[#This Row],[Fecha]]))</f>
        <v/>
      </c>
      <c r="K4" s="27" t="str">
        <f>IFERROR(IF(Tabla3[[#This Row],[OEE]]&lt;&gt;"No",Tabla3[[#This Row],[OEE]]/Tabla3[[#This Row],[Disponibilidad]],""),0)</f>
        <v/>
      </c>
    </row>
    <row r="5" spans="1:11" x14ac:dyDescent="0.25">
      <c r="A5" s="2">
        <v>45686</v>
      </c>
      <c r="B5" s="5">
        <f>SUMIFS('paradas-disp'!F:F,'paradas-disp'!A:A,Tabla3[[#This Row],[Fecha]])</f>
        <v>0</v>
      </c>
      <c r="D5" s="15">
        <f>IF(Tabla3[[#This Row],[Fecha]]&lt;53,"",IFERROR(((HOUR(Tabla3[[#This Row],[Horas]])*60+MINUTE(Tabla3[[#This Row],[Horas]]))/60)*$D$1,""))</f>
        <v>0</v>
      </c>
      <c r="E5" s="22" t="str">
        <f>IFERROR(Tabla3[[#This Row],[Cantidad producida]]/Tabla3[[#This Row],[Cantidad teórica]],"")</f>
        <v/>
      </c>
      <c r="F5" s="22">
        <f>IF(Tabla3[[#This Row],[Fecha]]&lt;53,"",IFERROR(Tabla3[[#This Row],[Horas]]/$F$1,""))</f>
        <v>0</v>
      </c>
      <c r="G5" s="15" t="str">
        <f>IF(Tabla3[[#This Row],[Disponibilidad]]="","",IF(Tabla3[[#This Row],[Disponibilidad]]&gt;1,"NO",""))</f>
        <v/>
      </c>
      <c r="H5" t="str">
        <f>IFERROR(IF(VLOOKUP(Tabla3[[#This Row],[Fecha]],Tabla1[[Día]:[P/LC/CF/CL]],5,FALSE)="LC","SI",""),"")</f>
        <v/>
      </c>
      <c r="I5" s="22" t="str">
        <f>IFERROR(Tabla3[[#This Row],[Disponibilidad]]*Tabla3[[#This Row],[Rendimiento]], IF(Tabla3[[#This Row],[LC]]="SI", 0, "No"))</f>
        <v>No</v>
      </c>
      <c r="J5" s="16" t="str">
        <f>IF(Tabla3[[#This Row],[OEE]]="No","",WEEKNUM(Tabla3[[#This Row],[Fecha]]))</f>
        <v/>
      </c>
      <c r="K5" s="27" t="str">
        <f>IFERROR(IF(Tabla3[[#This Row],[OEE]]&lt;&gt;"No",Tabla3[[#This Row],[OEE]]/Tabla3[[#This Row],[Disponibilidad]],""),0)</f>
        <v/>
      </c>
    </row>
    <row r="6" spans="1:11" x14ac:dyDescent="0.25">
      <c r="A6" s="2">
        <v>45687</v>
      </c>
      <c r="B6" s="5">
        <f>SUMIFS('paradas-disp'!F:F,'paradas-disp'!A:A,Tabla3[[#This Row],[Fecha]])</f>
        <v>0</v>
      </c>
      <c r="D6" s="15">
        <f>IF(Tabla3[[#This Row],[Fecha]]&lt;53,"",IFERROR(((HOUR(Tabla3[[#This Row],[Horas]])*60+MINUTE(Tabla3[[#This Row],[Horas]]))/60)*$D$1,""))</f>
        <v>0</v>
      </c>
      <c r="E6" s="22" t="str">
        <f>IFERROR(Tabla3[[#This Row],[Cantidad producida]]/Tabla3[[#This Row],[Cantidad teórica]],"")</f>
        <v/>
      </c>
      <c r="F6" s="22">
        <f>IF(Tabla3[[#This Row],[Fecha]]&lt;53,"",IFERROR(Tabla3[[#This Row],[Horas]]/$F$1,""))</f>
        <v>0</v>
      </c>
      <c r="G6" s="15" t="str">
        <f>IF(Tabla3[[#This Row],[Disponibilidad]]="","",IF(Tabla3[[#This Row],[Disponibilidad]]&gt;1,"NO",""))</f>
        <v/>
      </c>
      <c r="H6" t="str">
        <f>IFERROR(IF(VLOOKUP(Tabla3[[#This Row],[Fecha]],Tabla1[[Día]:[P/LC/CF/CL]],5,FALSE)="LC","SI",""),"")</f>
        <v/>
      </c>
      <c r="I6" s="22" t="str">
        <f>IFERROR(Tabla3[[#This Row],[Disponibilidad]]*Tabla3[[#This Row],[Rendimiento]], IF(Tabla3[[#This Row],[LC]]="SI", 0, "No"))</f>
        <v>No</v>
      </c>
      <c r="J6" s="16" t="str">
        <f>IF(Tabla3[[#This Row],[OEE]]="No","",WEEKNUM(Tabla3[[#This Row],[Fecha]]))</f>
        <v/>
      </c>
      <c r="K6" s="27" t="str">
        <f>IFERROR(IF(Tabla3[[#This Row],[OEE]]&lt;&gt;"No",Tabla3[[#This Row],[OEE]]/Tabla3[[#This Row],[Disponibilidad]],""),0)</f>
        <v/>
      </c>
    </row>
    <row r="7" spans="1:11" x14ac:dyDescent="0.25">
      <c r="A7" s="2">
        <v>45688</v>
      </c>
      <c r="B7" s="5">
        <f>SUMIFS('paradas-disp'!F:F,'paradas-disp'!A:A,Tabla3[[#This Row],[Fecha]])</f>
        <v>0</v>
      </c>
      <c r="D7" s="15">
        <f>IF(Tabla3[[#This Row],[Fecha]]&lt;53,"",IFERROR(((HOUR(Tabla3[[#This Row],[Horas]])*60+MINUTE(Tabla3[[#This Row],[Horas]]))/60)*$D$1,""))</f>
        <v>0</v>
      </c>
      <c r="E7" s="22" t="str">
        <f>IFERROR(Tabla3[[#This Row],[Cantidad producida]]/Tabla3[[#This Row],[Cantidad teórica]],"")</f>
        <v/>
      </c>
      <c r="F7" s="22">
        <f>IF(Tabla3[[#This Row],[Fecha]]&lt;53,"",IFERROR(Tabla3[[#This Row],[Horas]]/$F$1,""))</f>
        <v>0</v>
      </c>
      <c r="G7" s="15" t="str">
        <f>IF(Tabla3[[#This Row],[Disponibilidad]]="","",IF(Tabla3[[#This Row],[Disponibilidad]]&gt;1,"NO",""))</f>
        <v/>
      </c>
      <c r="H7" t="str">
        <f>IFERROR(IF(VLOOKUP(Tabla3[[#This Row],[Fecha]],Tabla1[[Día]:[P/LC/CF/CL]],5,FALSE)="LC","SI",""),"")</f>
        <v/>
      </c>
      <c r="I7" s="22" t="str">
        <f>IFERROR(Tabla3[[#This Row],[Disponibilidad]]*Tabla3[[#This Row],[Rendimiento]], IF(Tabla3[[#This Row],[LC]]="SI", 0, "No"))</f>
        <v>No</v>
      </c>
      <c r="J7" s="16" t="str">
        <f>IF(Tabla3[[#This Row],[OEE]]="No","",WEEKNUM(Tabla3[[#This Row],[Fecha]]))</f>
        <v/>
      </c>
      <c r="K7" s="27" t="str">
        <f>IFERROR(IF(Tabla3[[#This Row],[OEE]]&lt;&gt;"No",Tabla3[[#This Row],[OEE]]/Tabla3[[#This Row],[Disponibilidad]],""),0)</f>
        <v/>
      </c>
    </row>
    <row r="8" spans="1:11" x14ac:dyDescent="0.25">
      <c r="A8" s="2">
        <v>45689</v>
      </c>
      <c r="B8" s="5">
        <f>SUMIFS('paradas-disp'!F:F,'paradas-disp'!A:A,Tabla3[[#This Row],[Fecha]])</f>
        <v>0</v>
      </c>
      <c r="D8" s="15">
        <f>IF(Tabla3[[#This Row],[Fecha]]&lt;53,"",IFERROR(((HOUR(Tabla3[[#This Row],[Horas]])*60+MINUTE(Tabla3[[#This Row],[Horas]]))/60)*$D$1,""))</f>
        <v>0</v>
      </c>
      <c r="E8" s="22" t="str">
        <f>IFERROR(Tabla3[[#This Row],[Cantidad producida]]/Tabla3[[#This Row],[Cantidad teórica]],"")</f>
        <v/>
      </c>
      <c r="F8" s="22">
        <f>IF(Tabla3[[#This Row],[Fecha]]&lt;53,"",IFERROR(Tabla3[[#This Row],[Horas]]/$F$1,""))</f>
        <v>0</v>
      </c>
      <c r="G8" s="15" t="str">
        <f>IF(Tabla3[[#This Row],[Disponibilidad]]="","",IF(Tabla3[[#This Row],[Disponibilidad]]&gt;1,"NO",""))</f>
        <v/>
      </c>
      <c r="H8" t="str">
        <f>IFERROR(IF(VLOOKUP(Tabla3[[#This Row],[Fecha]],Tabla1[[Día]:[P/LC/CF/CL]],5,FALSE)="LC","SI",""),"")</f>
        <v/>
      </c>
      <c r="I8" s="22" t="str">
        <f>IFERROR(Tabla3[[#This Row],[Disponibilidad]]*Tabla3[[#This Row],[Rendimiento]], IF(Tabla3[[#This Row],[LC]]="SI", 0, "No"))</f>
        <v>No</v>
      </c>
      <c r="J8" s="16" t="str">
        <f>IF(Tabla3[[#This Row],[OEE]]="No","",WEEKNUM(Tabla3[[#This Row],[Fecha]]))</f>
        <v/>
      </c>
      <c r="K8" s="27" t="str">
        <f>IFERROR(IF(Tabla3[[#This Row],[OEE]]&lt;&gt;"No",Tabla3[[#This Row],[OEE]]/Tabla3[[#This Row],[Disponibilidad]],""),0)</f>
        <v/>
      </c>
    </row>
    <row r="9" spans="1:11" x14ac:dyDescent="0.25">
      <c r="A9" s="2">
        <v>45690</v>
      </c>
      <c r="B9" s="5">
        <f>SUMIFS('paradas-disp'!F:F,'paradas-disp'!A:A,Tabla3[[#This Row],[Fecha]])</f>
        <v>0</v>
      </c>
      <c r="D9" s="15">
        <f>IF(Tabla3[[#This Row],[Fecha]]&lt;53,"",IFERROR(((HOUR(Tabla3[[#This Row],[Horas]])*60+MINUTE(Tabla3[[#This Row],[Horas]]))/60)*$D$1,""))</f>
        <v>0</v>
      </c>
      <c r="E9" s="22" t="str">
        <f>IFERROR(Tabla3[[#This Row],[Cantidad producida]]/Tabla3[[#This Row],[Cantidad teórica]],"")</f>
        <v/>
      </c>
      <c r="F9" s="22">
        <f>IF(Tabla3[[#This Row],[Fecha]]&lt;53,"",IFERROR(Tabla3[[#This Row],[Horas]]/$F$1,""))</f>
        <v>0</v>
      </c>
      <c r="G9" s="15" t="str">
        <f>IF(Tabla3[[#This Row],[Disponibilidad]]="","",IF(Tabla3[[#This Row],[Disponibilidad]]&gt;1,"NO",""))</f>
        <v/>
      </c>
      <c r="H9" t="str">
        <f>IFERROR(IF(VLOOKUP(Tabla3[[#This Row],[Fecha]],Tabla1[[Día]:[P/LC/CF/CL]],5,FALSE)="LC","SI",""),"")</f>
        <v/>
      </c>
      <c r="I9" s="22" t="str">
        <f>IFERROR(Tabla3[[#This Row],[Disponibilidad]]*Tabla3[[#This Row],[Rendimiento]], IF(Tabla3[[#This Row],[LC]]="SI", 0, "No"))</f>
        <v>No</v>
      </c>
      <c r="J9" s="16" t="str">
        <f>IF(Tabla3[[#This Row],[OEE]]="No","",WEEKNUM(Tabla3[[#This Row],[Fecha]]))</f>
        <v/>
      </c>
      <c r="K9" s="27" t="str">
        <f>IFERROR(IF(Tabla3[[#This Row],[OEE]]&lt;&gt;"No",Tabla3[[#This Row],[OEE]]/Tabla3[[#This Row],[Disponibilidad]],""),0)</f>
        <v/>
      </c>
    </row>
    <row r="10" spans="1:11" x14ac:dyDescent="0.25">
      <c r="A10" s="2">
        <v>45691</v>
      </c>
      <c r="B10" s="5">
        <f>SUMIFS('paradas-disp'!F:F,'paradas-disp'!A:A,Tabla3[[#This Row],[Fecha]])</f>
        <v>0</v>
      </c>
      <c r="D10" s="15">
        <f>IF(Tabla3[[#This Row],[Fecha]]&lt;53,"",IFERROR(((HOUR(Tabla3[[#This Row],[Horas]])*60+MINUTE(Tabla3[[#This Row],[Horas]]))/60)*$D$1,""))</f>
        <v>0</v>
      </c>
      <c r="E10" s="22" t="str">
        <f>IFERROR(Tabla3[[#This Row],[Cantidad producida]]/Tabla3[[#This Row],[Cantidad teórica]],"")</f>
        <v/>
      </c>
      <c r="F10" s="22">
        <f>IF(Tabla3[[#This Row],[Fecha]]&lt;53,"",IFERROR(Tabla3[[#This Row],[Horas]]/$F$1,""))</f>
        <v>0</v>
      </c>
      <c r="G10" s="15" t="str">
        <f>IF(Tabla3[[#This Row],[Disponibilidad]]="","",IF(Tabla3[[#This Row],[Disponibilidad]]&gt;1,"NO",""))</f>
        <v/>
      </c>
      <c r="H10" t="str">
        <f>IFERROR(IF(VLOOKUP(Tabla3[[#This Row],[Fecha]],Tabla1[[Día]:[P/LC/CF/CL]],5,FALSE)="LC","SI",""),"")</f>
        <v/>
      </c>
      <c r="I10" s="22" t="str">
        <f>IFERROR(Tabla3[[#This Row],[Disponibilidad]]*Tabla3[[#This Row],[Rendimiento]], IF(Tabla3[[#This Row],[LC]]="SI", 0, "No"))</f>
        <v>No</v>
      </c>
      <c r="J10" s="16" t="str">
        <f>IF(Tabla3[[#This Row],[OEE]]="No","",WEEKNUM(Tabla3[[#This Row],[Fecha]]))</f>
        <v/>
      </c>
      <c r="K10" s="27" t="str">
        <f>IFERROR(IF(Tabla3[[#This Row],[OEE]]&lt;&gt;"No",Tabla3[[#This Row],[OEE]]/Tabla3[[#This Row],[Disponibilidad]],""),0)</f>
        <v/>
      </c>
    </row>
    <row r="11" spans="1:11" x14ac:dyDescent="0.25">
      <c r="A11" s="2">
        <v>45692</v>
      </c>
      <c r="B11" s="5">
        <f>SUMIFS('paradas-disp'!F:F,'paradas-disp'!A:A,Tabla3[[#This Row],[Fecha]])</f>
        <v>9.027777777777779E-2</v>
      </c>
      <c r="C11">
        <f>SUMIFS('paradas-disp'!I:I,'paradas-disp'!A:A,Tabla3[[#This Row],[Fecha]])</f>
        <v>2754</v>
      </c>
      <c r="D11" s="15">
        <f>IF(Tabla3[[#This Row],[Fecha]]&lt;53,"",IFERROR(((HOUR(Tabla3[[#This Row],[Horas]])*60+MINUTE(Tabla3[[#This Row],[Horas]]))/60)*$D$1,""))</f>
        <v>3899.9999999999995</v>
      </c>
      <c r="E11" s="22">
        <f>IFERROR(Tabla3[[#This Row],[Cantidad producida]]/Tabla3[[#This Row],[Cantidad teórica]],"")</f>
        <v>0.70615384615384624</v>
      </c>
      <c r="F11" s="22">
        <f>IF(Tabla3[[#This Row],[Fecha]]&lt;53,"",IFERROR(Tabla3[[#This Row],[Horas]]/$F$1,""))</f>
        <v>0.14444444444444446</v>
      </c>
      <c r="G11" s="15" t="str">
        <f>IF(Tabla3[[#This Row],[Disponibilidad]]="","",IF(Tabla3[[#This Row],[Disponibilidad]]&gt;1,"NO",""))</f>
        <v/>
      </c>
      <c r="H11" t="str">
        <f>IFERROR(IF(VLOOKUP(Tabla3[[#This Row],[Fecha]],Tabla1[[Día]:[P/LC/CF/CL]],5,FALSE)="LC","SI",""),"")</f>
        <v/>
      </c>
      <c r="I11" s="22">
        <f>IFERROR(Tabla3[[#This Row],[Disponibilidad]]*Tabla3[[#This Row],[Rendimiento]], IF(Tabla3[[#This Row],[LC]]="SI", 0, "No"))</f>
        <v>0.10200000000000002</v>
      </c>
      <c r="J11" s="16">
        <f>IF(Tabla3[[#This Row],[OEE]]="No","",WEEKNUM(Tabla3[[#This Row],[Fecha]]))</f>
        <v>6</v>
      </c>
      <c r="K11" s="27">
        <f>IFERROR(IF(Tabla3[[#This Row],[OEE]]&lt;&gt;"No",Tabla3[[#This Row],[OEE]]/Tabla3[[#This Row],[Disponibilidad]],""),0)</f>
        <v>0.70615384615384624</v>
      </c>
    </row>
    <row r="12" spans="1:11" x14ac:dyDescent="0.25">
      <c r="A12" s="2">
        <v>45693</v>
      </c>
      <c r="B12" s="5">
        <f>SUMIFS('paradas-disp'!F:F,'paradas-disp'!A:A,Tabla3[[#This Row],[Fecha]])</f>
        <v>0.47569444444444448</v>
      </c>
      <c r="C12">
        <f>SUMIFS('paradas-disp'!I:I,'paradas-disp'!A:A,Tabla3[[#This Row],[Fecha]])</f>
        <v>13140</v>
      </c>
      <c r="D12" s="15">
        <f>IF(Tabla3[[#This Row],[Fecha]]&lt;53,"",IFERROR(((HOUR(Tabla3[[#This Row],[Horas]])*60+MINUTE(Tabla3[[#This Row],[Horas]]))/60)*$D$1,""))</f>
        <v>20550</v>
      </c>
      <c r="E12" s="22">
        <f>IFERROR(Tabla3[[#This Row],[Cantidad producida]]/Tabla3[[#This Row],[Cantidad teórica]],"")</f>
        <v>0.6394160583941606</v>
      </c>
      <c r="F12" s="22">
        <f>IF(Tabla3[[#This Row],[Fecha]]&lt;53,"",IFERROR(Tabla3[[#This Row],[Horas]]/$F$1,""))</f>
        <v>0.76111111111111118</v>
      </c>
      <c r="G12" s="15" t="str">
        <f>IF(Tabla3[[#This Row],[Disponibilidad]]="","",IF(Tabla3[[#This Row],[Disponibilidad]]&gt;1,"NO",""))</f>
        <v/>
      </c>
      <c r="H12" t="str">
        <f>IFERROR(IF(VLOOKUP(Tabla3[[#This Row],[Fecha]],Tabla1[[Día]:[P/LC/CF/CL]],5,FALSE)="LC","SI",""),"")</f>
        <v/>
      </c>
      <c r="I12" s="22">
        <f>IFERROR(Tabla3[[#This Row],[Disponibilidad]]*Tabla3[[#This Row],[Rendimiento]], IF(Tabla3[[#This Row],[LC]]="SI", 0, "No"))</f>
        <v>0.48666666666666675</v>
      </c>
      <c r="J12" s="16">
        <f>IF(Tabla3[[#This Row],[OEE]]="No","",WEEKNUM(Tabla3[[#This Row],[Fecha]]))</f>
        <v>6</v>
      </c>
      <c r="K12" s="27">
        <f>IFERROR(IF(Tabla3[[#This Row],[OEE]]&lt;&gt;"No",Tabla3[[#This Row],[OEE]]/Tabla3[[#This Row],[Disponibilidad]],""),0)</f>
        <v>0.6394160583941606</v>
      </c>
    </row>
    <row r="13" spans="1:11" x14ac:dyDescent="0.25">
      <c r="A13" s="2">
        <v>45694</v>
      </c>
      <c r="B13" s="5">
        <f>SUMIFS('paradas-disp'!F:F,'paradas-disp'!A:A,Tabla3[[#This Row],[Fecha]])</f>
        <v>0.34375000000000006</v>
      </c>
      <c r="C13">
        <f>SUMIFS('paradas-disp'!I:I,'paradas-disp'!A:A,Tabla3[[#This Row],[Fecha]])</f>
        <v>10938</v>
      </c>
      <c r="D13" s="15">
        <f>IF(Tabla3[[#This Row],[Fecha]]&lt;53,"",IFERROR(((HOUR(Tabla3[[#This Row],[Horas]])*60+MINUTE(Tabla3[[#This Row],[Horas]]))/60)*$D$1,""))</f>
        <v>14850</v>
      </c>
      <c r="E13" s="22">
        <f>IFERROR(Tabla3[[#This Row],[Cantidad producida]]/Tabla3[[#This Row],[Cantidad teórica]],"")</f>
        <v>0.73656565656565653</v>
      </c>
      <c r="F13" s="22">
        <f>IF(Tabla3[[#This Row],[Fecha]]&lt;53,"",IFERROR(Tabla3[[#This Row],[Horas]]/$F$1,""))</f>
        <v>0.55000000000000004</v>
      </c>
      <c r="G13" s="15" t="str">
        <f>IF(Tabla3[[#This Row],[Disponibilidad]]="","",IF(Tabla3[[#This Row],[Disponibilidad]]&gt;1,"NO",""))</f>
        <v/>
      </c>
      <c r="H13" t="str">
        <f>IFERROR(IF(VLOOKUP(Tabla3[[#This Row],[Fecha]],Tabla1[[Día]:[P/LC/CF/CL]],5,FALSE)="LC","SI",""),"")</f>
        <v/>
      </c>
      <c r="I13" s="22">
        <f>IFERROR(Tabla3[[#This Row],[Disponibilidad]]*Tabla3[[#This Row],[Rendimiento]], IF(Tabla3[[#This Row],[LC]]="SI", 0, "No"))</f>
        <v>0.40511111111111114</v>
      </c>
      <c r="J13" s="16">
        <f>IF(Tabla3[[#This Row],[OEE]]="No","",WEEKNUM(Tabla3[[#This Row],[Fecha]]))</f>
        <v>6</v>
      </c>
      <c r="K13" s="27">
        <f>IFERROR(IF(Tabla3[[#This Row],[OEE]]&lt;&gt;"No",Tabla3[[#This Row],[OEE]]/Tabla3[[#This Row],[Disponibilidad]],""),0)</f>
        <v>0.73656565656565653</v>
      </c>
    </row>
    <row r="14" spans="1:11" x14ac:dyDescent="0.25">
      <c r="A14" s="2">
        <v>45695</v>
      </c>
      <c r="B14" s="5">
        <f>SUMIFS('paradas-disp'!F:F,'paradas-disp'!A:A,Tabla3[[#This Row],[Fecha]])</f>
        <v>0.34722222222222221</v>
      </c>
      <c r="C14">
        <f>SUMIFS('paradas-disp'!I:I,'paradas-disp'!A:A,Tabla3[[#This Row],[Fecha]])</f>
        <v>8592</v>
      </c>
      <c r="D14" s="15">
        <f>IF(Tabla3[[#This Row],[Fecha]]&lt;53,"",IFERROR(((HOUR(Tabla3[[#This Row],[Horas]])*60+MINUTE(Tabla3[[#This Row],[Horas]]))/60)*$D$1,""))</f>
        <v>15000.000000000002</v>
      </c>
      <c r="E14" s="22">
        <f>IFERROR(Tabla3[[#This Row],[Cantidad producida]]/Tabla3[[#This Row],[Cantidad teórica]],"")</f>
        <v>0.57279999999999998</v>
      </c>
      <c r="F14" s="22">
        <f>IF(Tabla3[[#This Row],[Fecha]]&lt;53,"",IFERROR(Tabla3[[#This Row],[Horas]]/$F$1,""))</f>
        <v>0.55555555555555558</v>
      </c>
      <c r="G14" s="15" t="str">
        <f>IF(Tabla3[[#This Row],[Disponibilidad]]="","",IF(Tabla3[[#This Row],[Disponibilidad]]&gt;1,"NO",""))</f>
        <v/>
      </c>
      <c r="H14" t="str">
        <f>IFERROR(IF(VLOOKUP(Tabla3[[#This Row],[Fecha]],Tabla1[[Día]:[P/LC/CF/CL]],5,FALSE)="LC","SI",""),"")</f>
        <v/>
      </c>
      <c r="I14" s="22">
        <f>IFERROR(Tabla3[[#This Row],[Disponibilidad]]*Tabla3[[#This Row],[Rendimiento]], IF(Tabla3[[#This Row],[LC]]="SI", 0, "No"))</f>
        <v>0.31822222222222224</v>
      </c>
      <c r="J14" s="16">
        <f>IF(Tabla3[[#This Row],[OEE]]="No","",WEEKNUM(Tabla3[[#This Row],[Fecha]]))</f>
        <v>6</v>
      </c>
      <c r="K14" s="27">
        <f>IFERROR(IF(Tabla3[[#This Row],[OEE]]&lt;&gt;"No",Tabla3[[#This Row],[OEE]]/Tabla3[[#This Row],[Disponibilidad]],""),0)</f>
        <v>0.57279999999999998</v>
      </c>
    </row>
    <row r="15" spans="1:11" x14ac:dyDescent="0.25">
      <c r="A15" s="2">
        <v>45696</v>
      </c>
      <c r="B15" s="5">
        <f>SUMIFS('paradas-disp'!F:F,'paradas-disp'!A:A,Tabla3[[#This Row],[Fecha]])</f>
        <v>0</v>
      </c>
      <c r="D15" s="15">
        <f>IF(Tabla3[[#This Row],[Fecha]]&lt;53,"",IFERROR(((HOUR(Tabla3[[#This Row],[Horas]])*60+MINUTE(Tabla3[[#This Row],[Horas]]))/60)*$D$1,""))</f>
        <v>0</v>
      </c>
      <c r="E15" s="22" t="str">
        <f>IFERROR(Tabla3[[#This Row],[Cantidad producida]]/Tabla3[[#This Row],[Cantidad teórica]],"")</f>
        <v/>
      </c>
      <c r="F15" s="22">
        <f>IF(Tabla3[[#This Row],[Fecha]]&lt;53,"",IFERROR(Tabla3[[#This Row],[Horas]]/$F$1,""))</f>
        <v>0</v>
      </c>
      <c r="G15" s="15" t="str">
        <f>IF(Tabla3[[#This Row],[Disponibilidad]]="","",IF(Tabla3[[#This Row],[Disponibilidad]]&gt;1,"NO",""))</f>
        <v/>
      </c>
      <c r="H15" t="str">
        <f>IFERROR(IF(VLOOKUP(Tabla3[[#This Row],[Fecha]],Tabla1[[Día]:[P/LC/CF/CL]],5,FALSE)="LC","SI",""),"")</f>
        <v/>
      </c>
      <c r="I15" s="22" t="str">
        <f>IFERROR(Tabla3[[#This Row],[Disponibilidad]]*Tabla3[[#This Row],[Rendimiento]], IF(Tabla3[[#This Row],[LC]]="SI", 0, "No"))</f>
        <v>No</v>
      </c>
      <c r="J15" s="16" t="str">
        <f>IF(Tabla3[[#This Row],[OEE]]="No","",WEEKNUM(Tabla3[[#This Row],[Fecha]]))</f>
        <v/>
      </c>
      <c r="K15" s="27" t="str">
        <f>IFERROR(IF(Tabla3[[#This Row],[OEE]]&lt;&gt;"No",Tabla3[[#This Row],[OEE]]/Tabla3[[#This Row],[Disponibilidad]],""),0)</f>
        <v/>
      </c>
    </row>
    <row r="16" spans="1:11" x14ac:dyDescent="0.25">
      <c r="A16" s="2">
        <v>45697</v>
      </c>
      <c r="B16" s="5">
        <f>SUMIFS('paradas-disp'!F:F,'paradas-disp'!A:A,Tabla3[[#This Row],[Fecha]])</f>
        <v>0</v>
      </c>
      <c r="D16" s="15">
        <f>IF(Tabla3[[#This Row],[Fecha]]&lt;53,"",IFERROR(((HOUR(Tabla3[[#This Row],[Horas]])*60+MINUTE(Tabla3[[#This Row],[Horas]]))/60)*$D$1,""))</f>
        <v>0</v>
      </c>
      <c r="E16" s="22" t="str">
        <f>IFERROR(Tabla3[[#This Row],[Cantidad producida]]/Tabla3[[#This Row],[Cantidad teórica]],"")</f>
        <v/>
      </c>
      <c r="F16" s="22">
        <f>IF(Tabla3[[#This Row],[Fecha]]&lt;53,"",IFERROR(Tabla3[[#This Row],[Horas]]/$F$1,""))</f>
        <v>0</v>
      </c>
      <c r="G16" s="15" t="str">
        <f>IF(Tabla3[[#This Row],[Disponibilidad]]="","",IF(Tabla3[[#This Row],[Disponibilidad]]&gt;1,"NO",""))</f>
        <v/>
      </c>
      <c r="H16" t="str">
        <f>IFERROR(IF(VLOOKUP(Tabla3[[#This Row],[Fecha]],Tabla1[[Día]:[P/LC/CF/CL]],5,FALSE)="LC","SI",""),"")</f>
        <v/>
      </c>
      <c r="I16" s="22" t="str">
        <f>IFERROR(Tabla3[[#This Row],[Disponibilidad]]*Tabla3[[#This Row],[Rendimiento]], IF(Tabla3[[#This Row],[LC]]="SI", 0, "No"))</f>
        <v>No</v>
      </c>
      <c r="J16" s="16" t="str">
        <f>IF(Tabla3[[#This Row],[OEE]]="No","",WEEKNUM(Tabla3[[#This Row],[Fecha]]))</f>
        <v/>
      </c>
      <c r="K16" s="27" t="str">
        <f>IFERROR(IF(Tabla3[[#This Row],[OEE]]&lt;&gt;"No",Tabla3[[#This Row],[OEE]]/Tabla3[[#This Row],[Disponibilidad]],""),0)</f>
        <v/>
      </c>
    </row>
    <row r="17" spans="1:11" x14ac:dyDescent="0.25">
      <c r="A17" s="2">
        <v>45698</v>
      </c>
      <c r="B17" s="5">
        <f>SUMIFS('paradas-disp'!F:F,'paradas-disp'!A:A,Tabla3[[#This Row],[Fecha]])</f>
        <v>5.5555555555555469E-2</v>
      </c>
      <c r="C17">
        <f>SUMIFS('paradas-disp'!I:I,'paradas-disp'!A:A,Tabla3[[#This Row],[Fecha]])</f>
        <v>384</v>
      </c>
      <c r="D17" s="15">
        <f>IF(Tabla3[[#This Row],[Fecha]]&lt;53,"",IFERROR(((HOUR(Tabla3[[#This Row],[Horas]])*60+MINUTE(Tabla3[[#This Row],[Horas]]))/60)*$D$1,""))</f>
        <v>2400</v>
      </c>
      <c r="E17" s="22">
        <f>IFERROR(Tabla3[[#This Row],[Cantidad producida]]/Tabla3[[#This Row],[Cantidad teórica]],"")</f>
        <v>0.16</v>
      </c>
      <c r="F17" s="22">
        <f>IF(Tabla3[[#This Row],[Fecha]]&lt;53,"",IFERROR(Tabla3[[#This Row],[Horas]]/$F$1,""))</f>
        <v>8.8888888888888754E-2</v>
      </c>
      <c r="G17" s="15" t="str">
        <f>IF(Tabla3[[#This Row],[Disponibilidad]]="","",IF(Tabla3[[#This Row],[Disponibilidad]]&gt;1,"NO",""))</f>
        <v/>
      </c>
      <c r="H17" t="str">
        <f>IFERROR(IF(VLOOKUP(Tabla3[[#This Row],[Fecha]],Tabla1[[Día]:[P/LC/CF/CL]],5,FALSE)="LC","SI",""),"")</f>
        <v/>
      </c>
      <c r="I17" s="22">
        <f>IFERROR(Tabla3[[#This Row],[Disponibilidad]]*Tabla3[[#This Row],[Rendimiento]], IF(Tabla3[[#This Row],[LC]]="SI", 0, "No"))</f>
        <v>1.42222222222222E-2</v>
      </c>
      <c r="J17" s="16">
        <f>IF(Tabla3[[#This Row],[OEE]]="No","",WEEKNUM(Tabla3[[#This Row],[Fecha]]))</f>
        <v>7</v>
      </c>
      <c r="K17" s="27">
        <f>IFERROR(IF(Tabla3[[#This Row],[OEE]]&lt;&gt;"No",Tabla3[[#This Row],[OEE]]/Tabla3[[#This Row],[Disponibilidad]],""),0)</f>
        <v>0.16</v>
      </c>
    </row>
    <row r="18" spans="1:11" x14ac:dyDescent="0.25">
      <c r="A18" s="2">
        <v>45699</v>
      </c>
      <c r="B18" s="5">
        <f>SUMIFS('paradas-disp'!F:F,'paradas-disp'!A:A,Tabla3[[#This Row],[Fecha]])</f>
        <v>0.28125000000000006</v>
      </c>
      <c r="C18">
        <f>SUMIFS('paradas-disp'!I:I,'paradas-disp'!A:A,Tabla3[[#This Row],[Fecha]])</f>
        <v>5820</v>
      </c>
      <c r="D18" s="15">
        <f>IF(Tabla3[[#This Row],[Fecha]]&lt;53,"",IFERROR(((HOUR(Tabla3[[#This Row],[Horas]])*60+MINUTE(Tabla3[[#This Row],[Horas]]))/60)*$D$1,""))</f>
        <v>12150</v>
      </c>
      <c r="E18" s="22">
        <f>IFERROR(Tabla3[[#This Row],[Cantidad producida]]/Tabla3[[#This Row],[Cantidad teórica]],"")</f>
        <v>0.47901234567901235</v>
      </c>
      <c r="F18" s="22">
        <f>IF(Tabla3[[#This Row],[Fecha]]&lt;53,"",IFERROR(Tabla3[[#This Row],[Horas]]/$F$1,""))</f>
        <v>0.45000000000000007</v>
      </c>
      <c r="G18" s="15" t="str">
        <f>IF(Tabla3[[#This Row],[Disponibilidad]]="","",IF(Tabla3[[#This Row],[Disponibilidad]]&gt;1,"NO",""))</f>
        <v/>
      </c>
      <c r="H18" t="str">
        <f>IFERROR(IF(VLOOKUP(Tabla3[[#This Row],[Fecha]],Tabla1[[Día]:[P/LC/CF/CL]],5,FALSE)="LC","SI",""),"")</f>
        <v/>
      </c>
      <c r="I18" s="22">
        <f>IFERROR(Tabla3[[#This Row],[Disponibilidad]]*Tabla3[[#This Row],[Rendimiento]], IF(Tabla3[[#This Row],[LC]]="SI", 0, "No"))</f>
        <v>0.21555555555555558</v>
      </c>
      <c r="J18" s="16">
        <f>IF(Tabla3[[#This Row],[OEE]]="No","",WEEKNUM(Tabla3[[#This Row],[Fecha]]))</f>
        <v>7</v>
      </c>
      <c r="K18" s="27">
        <f>IFERROR(IF(Tabla3[[#This Row],[OEE]]&lt;&gt;"No",Tabla3[[#This Row],[OEE]]/Tabla3[[#This Row],[Disponibilidad]],""),0)</f>
        <v>0.47901234567901235</v>
      </c>
    </row>
    <row r="19" spans="1:11" x14ac:dyDescent="0.25">
      <c r="A19" s="2">
        <v>45700</v>
      </c>
      <c r="B19" s="5">
        <f>SUMIFS('paradas-disp'!F:F,'paradas-disp'!A:A,Tabla3[[#This Row],[Fecha]])</f>
        <v>0.61805555555555569</v>
      </c>
      <c r="C19">
        <f>SUMIFS('paradas-disp'!I:I,'paradas-disp'!A:A,Tabla3[[#This Row],[Fecha]])</f>
        <v>14712</v>
      </c>
      <c r="D19" s="15">
        <f>IF(Tabla3[[#This Row],[Fecha]]&lt;53,"",IFERROR(((HOUR(Tabla3[[#This Row],[Horas]])*60+MINUTE(Tabla3[[#This Row],[Horas]]))/60)*$D$1,""))</f>
        <v>26700</v>
      </c>
      <c r="E19" s="22">
        <f>IFERROR(Tabla3[[#This Row],[Cantidad producida]]/Tabla3[[#This Row],[Cantidad teórica]],"")</f>
        <v>0.55101123595505619</v>
      </c>
      <c r="F19" s="22">
        <f>IF(Tabla3[[#This Row],[Fecha]]&lt;53,"",IFERROR(Tabla3[[#This Row],[Horas]]/$F$1,""))</f>
        <v>0.98888888888888915</v>
      </c>
      <c r="G19" s="15" t="str">
        <f>IF(Tabla3[[#This Row],[Disponibilidad]]="","",IF(Tabla3[[#This Row],[Disponibilidad]]&gt;1,"NO",""))</f>
        <v/>
      </c>
      <c r="H19" t="str">
        <f>IFERROR(IF(VLOOKUP(Tabla3[[#This Row],[Fecha]],Tabla1[[Día]:[P/LC/CF/CL]],5,FALSE)="LC","SI",""),"")</f>
        <v/>
      </c>
      <c r="I19" s="22">
        <f>IFERROR(Tabla3[[#This Row],[Disponibilidad]]*Tabla3[[#This Row],[Rendimiento]], IF(Tabla3[[#This Row],[LC]]="SI", 0, "No"))</f>
        <v>0.54488888888888909</v>
      </c>
      <c r="J19" s="16">
        <f>IF(Tabla3[[#This Row],[OEE]]="No","",WEEKNUM(Tabla3[[#This Row],[Fecha]]))</f>
        <v>7</v>
      </c>
      <c r="K19" s="27">
        <f>IFERROR(IF(Tabla3[[#This Row],[OEE]]&lt;&gt;"No",Tabla3[[#This Row],[OEE]]/Tabla3[[#This Row],[Disponibilidad]],""),0)</f>
        <v>0.55101123595505619</v>
      </c>
    </row>
    <row r="20" spans="1:11" x14ac:dyDescent="0.25">
      <c r="A20" s="2">
        <v>45701</v>
      </c>
      <c r="B20" s="5">
        <f>SUMIFS('paradas-disp'!F:F,'paradas-disp'!A:A,Tabla3[[#This Row],[Fecha]])</f>
        <v>0.60416666666666674</v>
      </c>
      <c r="C20">
        <f>SUMIFS('paradas-disp'!I:I,'paradas-disp'!A:A,Tabla3[[#This Row],[Fecha]])</f>
        <v>20016</v>
      </c>
      <c r="D20" s="15">
        <f>IF(Tabla3[[#This Row],[Fecha]]&lt;53,"",IFERROR(((HOUR(Tabla3[[#This Row],[Horas]])*60+MINUTE(Tabla3[[#This Row],[Horas]]))/60)*$D$1,""))</f>
        <v>26100</v>
      </c>
      <c r="E20" s="22">
        <f>IFERROR(Tabla3[[#This Row],[Cantidad producida]]/Tabla3[[#This Row],[Cantidad teórica]],"")</f>
        <v>0.76689655172413795</v>
      </c>
      <c r="F20" s="22">
        <f>IF(Tabla3[[#This Row],[Fecha]]&lt;53,"",IFERROR(Tabla3[[#This Row],[Horas]]/$F$1,""))</f>
        <v>0.96666666666666679</v>
      </c>
      <c r="G20" s="15" t="str">
        <f>IF(Tabla3[[#This Row],[Disponibilidad]]="","",IF(Tabla3[[#This Row],[Disponibilidad]]&gt;1,"NO",""))</f>
        <v/>
      </c>
      <c r="H20" t="str">
        <f>IFERROR(IF(VLOOKUP(Tabla3[[#This Row],[Fecha]],Tabla1[[Día]:[P/LC/CF/CL]],5,FALSE)="LC","SI",""),"")</f>
        <v/>
      </c>
      <c r="I20" s="22">
        <f>IFERROR(Tabla3[[#This Row],[Disponibilidad]]*Tabla3[[#This Row],[Rendimiento]], IF(Tabla3[[#This Row],[LC]]="SI", 0, "No"))</f>
        <v>0.7413333333333334</v>
      </c>
      <c r="J20" s="16">
        <f>IF(Tabla3[[#This Row],[OEE]]="No","",WEEKNUM(Tabla3[[#This Row],[Fecha]]))</f>
        <v>7</v>
      </c>
      <c r="K20" s="27">
        <f>IFERROR(IF(Tabla3[[#This Row],[OEE]]&lt;&gt;"No",Tabla3[[#This Row],[OEE]]/Tabla3[[#This Row],[Disponibilidad]],""),0)</f>
        <v>0.76689655172413795</v>
      </c>
    </row>
    <row r="21" spans="1:11" x14ac:dyDescent="0.25">
      <c r="A21" s="2">
        <v>45702</v>
      </c>
      <c r="B21" s="5">
        <f>SUMIFS('paradas-disp'!F:F,'paradas-disp'!A:A,Tabla3[[#This Row],[Fecha]])</f>
        <v>0.2777777777777779</v>
      </c>
      <c r="C21">
        <f>SUMIFS('paradas-disp'!I:I,'paradas-disp'!A:A,Tabla3[[#This Row],[Fecha]])</f>
        <v>10386</v>
      </c>
      <c r="D21" s="15">
        <f>IF(Tabla3[[#This Row],[Fecha]]&lt;53,"",IFERROR(((HOUR(Tabla3[[#This Row],[Horas]])*60+MINUTE(Tabla3[[#This Row],[Horas]]))/60)*$D$1,""))</f>
        <v>12000</v>
      </c>
      <c r="E21" s="22">
        <f>IFERROR(Tabla3[[#This Row],[Cantidad producida]]/Tabla3[[#This Row],[Cantidad teórica]],"")</f>
        <v>0.86550000000000005</v>
      </c>
      <c r="F21" s="22">
        <f>IF(Tabla3[[#This Row],[Fecha]]&lt;53,"",IFERROR(Tabla3[[#This Row],[Horas]]/$F$1,""))</f>
        <v>0.44444444444444464</v>
      </c>
      <c r="G21" s="15" t="str">
        <f>IF(Tabla3[[#This Row],[Disponibilidad]]="","",IF(Tabla3[[#This Row],[Disponibilidad]]&gt;1,"NO",""))</f>
        <v/>
      </c>
      <c r="H21" t="str">
        <f>IFERROR(IF(VLOOKUP(Tabla3[[#This Row],[Fecha]],Tabla1[[Día]:[P/LC/CF/CL]],5,FALSE)="LC","SI",""),"")</f>
        <v/>
      </c>
      <c r="I21" s="22">
        <f>IFERROR(Tabla3[[#This Row],[Disponibilidad]]*Tabla3[[#This Row],[Rendimiento]], IF(Tabla3[[#This Row],[LC]]="SI", 0, "No"))</f>
        <v>0.38466666666666688</v>
      </c>
      <c r="J21" s="16">
        <f>IF(Tabla3[[#This Row],[OEE]]="No","",WEEKNUM(Tabla3[[#This Row],[Fecha]]))</f>
        <v>7</v>
      </c>
      <c r="K21" s="27">
        <f>IFERROR(IF(Tabla3[[#This Row],[OEE]]&lt;&gt;"No",Tabla3[[#This Row],[OEE]]/Tabla3[[#This Row],[Disponibilidad]],""),0)</f>
        <v>0.86550000000000005</v>
      </c>
    </row>
    <row r="22" spans="1:11" x14ac:dyDescent="0.25">
      <c r="A22" s="2">
        <v>45703</v>
      </c>
      <c r="B22" s="5">
        <f>SUMIFS('paradas-disp'!F:F,'paradas-disp'!A:A,Tabla3[[#This Row],[Fecha]])</f>
        <v>0</v>
      </c>
      <c r="D22" s="15">
        <f>IF(Tabla3[[#This Row],[Fecha]]&lt;53,"",IFERROR(((HOUR(Tabla3[[#This Row],[Horas]])*60+MINUTE(Tabla3[[#This Row],[Horas]]))/60)*$D$1,""))</f>
        <v>0</v>
      </c>
      <c r="E22" s="22" t="str">
        <f>IFERROR(Tabla3[[#This Row],[Cantidad producida]]/Tabla3[[#This Row],[Cantidad teórica]],"")</f>
        <v/>
      </c>
      <c r="F22" s="22">
        <f>IF(Tabla3[[#This Row],[Fecha]]&lt;53,"",IFERROR(Tabla3[[#This Row],[Horas]]/$F$1,""))</f>
        <v>0</v>
      </c>
      <c r="G22" s="15" t="str">
        <f>IF(Tabla3[[#This Row],[Disponibilidad]]="","",IF(Tabla3[[#This Row],[Disponibilidad]]&gt;1,"NO",""))</f>
        <v/>
      </c>
      <c r="H22" t="str">
        <f>IFERROR(IF(VLOOKUP(Tabla3[[#This Row],[Fecha]],Tabla1[[Día]:[P/LC/CF/CL]],5,FALSE)="LC","SI",""),"")</f>
        <v/>
      </c>
      <c r="I22" s="22" t="str">
        <f>IFERROR(Tabla3[[#This Row],[Disponibilidad]]*Tabla3[[#This Row],[Rendimiento]], IF(Tabla3[[#This Row],[LC]]="SI", 0, "No"))</f>
        <v>No</v>
      </c>
      <c r="J22" s="16" t="str">
        <f>IF(Tabla3[[#This Row],[OEE]]="No","",WEEKNUM(Tabla3[[#This Row],[Fecha]]))</f>
        <v/>
      </c>
      <c r="K22" s="27" t="str">
        <f>IFERROR(IF(Tabla3[[#This Row],[OEE]]&lt;&gt;"No",Tabla3[[#This Row],[OEE]]/Tabla3[[#This Row],[Disponibilidad]],""),0)</f>
        <v/>
      </c>
    </row>
    <row r="23" spans="1:11" x14ac:dyDescent="0.25">
      <c r="A23" s="2">
        <v>45704</v>
      </c>
      <c r="B23" s="5">
        <f>SUMIFS('paradas-disp'!F:F,'paradas-disp'!A:A,Tabla3[[#This Row],[Fecha]])</f>
        <v>0</v>
      </c>
      <c r="D23" s="15">
        <f>IF(Tabla3[[#This Row],[Fecha]]&lt;53,"",IFERROR(((HOUR(Tabla3[[#This Row],[Horas]])*60+MINUTE(Tabla3[[#This Row],[Horas]]))/60)*$D$1,""))</f>
        <v>0</v>
      </c>
      <c r="E23" s="22" t="str">
        <f>IFERROR(Tabla3[[#This Row],[Cantidad producida]]/Tabla3[[#This Row],[Cantidad teórica]],"")</f>
        <v/>
      </c>
      <c r="F23" s="22">
        <f>IF(Tabla3[[#This Row],[Fecha]]&lt;53,"",IFERROR(Tabla3[[#This Row],[Horas]]/$F$1,""))</f>
        <v>0</v>
      </c>
      <c r="G23" s="15" t="str">
        <f>IF(Tabla3[[#This Row],[Disponibilidad]]="","",IF(Tabla3[[#This Row],[Disponibilidad]]&gt;1,"NO",""))</f>
        <v/>
      </c>
      <c r="H23" t="str">
        <f>IFERROR(IF(VLOOKUP(Tabla3[[#This Row],[Fecha]],Tabla1[[Día]:[P/LC/CF/CL]],5,FALSE)="LC","SI",""),"")</f>
        <v/>
      </c>
      <c r="I23" s="22" t="str">
        <f>IFERROR(Tabla3[[#This Row],[Disponibilidad]]*Tabla3[[#This Row],[Rendimiento]], IF(Tabla3[[#This Row],[LC]]="SI", 0, "No"))</f>
        <v>No</v>
      </c>
      <c r="J23" s="16" t="str">
        <f>IF(Tabla3[[#This Row],[OEE]]="No","",WEEKNUM(Tabla3[[#This Row],[Fecha]]))</f>
        <v/>
      </c>
      <c r="K23" s="27" t="str">
        <f>IFERROR(IF(Tabla3[[#This Row],[OEE]]&lt;&gt;"No",Tabla3[[#This Row],[OEE]]/Tabla3[[#This Row],[Disponibilidad]],""),0)</f>
        <v/>
      </c>
    </row>
    <row r="24" spans="1:11" x14ac:dyDescent="0.25">
      <c r="A24" s="2">
        <v>45705</v>
      </c>
      <c r="B24" s="5">
        <f>SUMIFS('paradas-disp'!F:F,'paradas-disp'!A:A,Tabla3[[#This Row],[Fecha]])</f>
        <v>0.31944444444444442</v>
      </c>
      <c r="C24">
        <f>SUMIFS('paradas-disp'!I:I,'paradas-disp'!A:A,Tabla3[[#This Row],[Fecha]])</f>
        <v>9300</v>
      </c>
      <c r="D24" s="15">
        <f>IF(Tabla3[[#This Row],[Fecha]]&lt;53,"",IFERROR(((HOUR(Tabla3[[#This Row],[Horas]])*60+MINUTE(Tabla3[[#This Row],[Horas]]))/60)*$D$1,""))</f>
        <v>13800</v>
      </c>
      <c r="E24" s="22">
        <f>IFERROR(Tabla3[[#This Row],[Cantidad producida]]/Tabla3[[#This Row],[Cantidad teórica]],"")</f>
        <v>0.67391304347826086</v>
      </c>
      <c r="F24" s="22">
        <f>IF(Tabla3[[#This Row],[Fecha]]&lt;53,"",IFERROR(Tabla3[[#This Row],[Horas]]/$F$1,""))</f>
        <v>0.51111111111111107</v>
      </c>
      <c r="G24" s="15" t="str">
        <f>IF(Tabla3[[#This Row],[Disponibilidad]]="","",IF(Tabla3[[#This Row],[Disponibilidad]]&gt;1,"NO",""))</f>
        <v/>
      </c>
      <c r="H24" t="str">
        <f>IFERROR(IF(VLOOKUP(Tabla3[[#This Row],[Fecha]],Tabla1[[Día]:[P/LC/CF/CL]],5,FALSE)="LC","SI",""),"")</f>
        <v/>
      </c>
      <c r="I24" s="22">
        <f>IFERROR(Tabla3[[#This Row],[Disponibilidad]]*Tabla3[[#This Row],[Rendimiento]], IF(Tabla3[[#This Row],[LC]]="SI", 0, "No"))</f>
        <v>0.34444444444444444</v>
      </c>
      <c r="J24" s="16">
        <f>IF(Tabla3[[#This Row],[OEE]]="No","",WEEKNUM(Tabla3[[#This Row],[Fecha]]))</f>
        <v>8</v>
      </c>
      <c r="K24" s="27">
        <f>IFERROR(IF(Tabla3[[#This Row],[OEE]]&lt;&gt;"No",Tabla3[[#This Row],[OEE]]/Tabla3[[#This Row],[Disponibilidad]],""),0)</f>
        <v>0.67391304347826086</v>
      </c>
    </row>
    <row r="25" spans="1:11" x14ac:dyDescent="0.25">
      <c r="A25" s="2">
        <v>45706</v>
      </c>
      <c r="B25" s="5">
        <f>SUMIFS('paradas-disp'!F:F,'paradas-disp'!A:A,Tabla3[[#This Row],[Fecha]])</f>
        <v>9.722222222222221E-2</v>
      </c>
      <c r="C25">
        <f>SUMIFS('paradas-disp'!I:I,'paradas-disp'!A:A,Tabla3[[#This Row],[Fecha]])</f>
        <v>2784</v>
      </c>
      <c r="D25" s="15">
        <f>IF(Tabla3[[#This Row],[Fecha]]&lt;53,"",IFERROR(((HOUR(Tabla3[[#This Row],[Horas]])*60+MINUTE(Tabla3[[#This Row],[Horas]]))/60)*$D$1,""))</f>
        <v>4200</v>
      </c>
      <c r="E25" s="22">
        <f>IFERROR(Tabla3[[#This Row],[Cantidad producida]]/Tabla3[[#This Row],[Cantidad teórica]],"")</f>
        <v>0.66285714285714281</v>
      </c>
      <c r="F25" s="22">
        <f>IF(Tabla3[[#This Row],[Fecha]]&lt;53,"",IFERROR(Tabla3[[#This Row],[Horas]]/$F$1,""))</f>
        <v>0.15555555555555553</v>
      </c>
      <c r="G25" s="15" t="str">
        <f>IF(Tabla3[[#This Row],[Disponibilidad]]="","",IF(Tabla3[[#This Row],[Disponibilidad]]&gt;1,"NO",""))</f>
        <v/>
      </c>
      <c r="H25" t="str">
        <f>IFERROR(IF(VLOOKUP(Tabla3[[#This Row],[Fecha]],Tabla1[[Día]:[P/LC/CF/CL]],5,FALSE)="LC","SI",""),"")</f>
        <v/>
      </c>
      <c r="I25" s="22">
        <f>IFERROR(Tabla3[[#This Row],[Disponibilidad]]*Tabla3[[#This Row],[Rendimiento]], IF(Tabla3[[#This Row],[LC]]="SI", 0, "No"))</f>
        <v>0.10311111111111108</v>
      </c>
      <c r="J25" s="16">
        <f>IF(Tabla3[[#This Row],[OEE]]="No","",WEEKNUM(Tabla3[[#This Row],[Fecha]]))</f>
        <v>8</v>
      </c>
      <c r="K25" s="27">
        <f>IFERROR(IF(Tabla3[[#This Row],[OEE]]&lt;&gt;"No",Tabla3[[#This Row],[OEE]]/Tabla3[[#This Row],[Disponibilidad]],""),0)</f>
        <v>0.66285714285714281</v>
      </c>
    </row>
    <row r="26" spans="1:11" x14ac:dyDescent="0.25">
      <c r="A26" s="2">
        <v>45707</v>
      </c>
      <c r="B26" s="5">
        <f>SUMIFS('paradas-disp'!F:F,'paradas-disp'!A:A,Tabla3[[#This Row],[Fecha]])</f>
        <v>0.58680555555555558</v>
      </c>
      <c r="C26">
        <f>SUMIFS('paradas-disp'!I:I,'paradas-disp'!A:A,Tabla3[[#This Row],[Fecha]])</f>
        <v>6174</v>
      </c>
      <c r="D26" s="15">
        <f>IF(Tabla3[[#This Row],[Fecha]]&lt;53,"",IFERROR(((HOUR(Tabla3[[#This Row],[Horas]])*60+MINUTE(Tabla3[[#This Row],[Horas]]))/60)*$D$1,""))</f>
        <v>25350</v>
      </c>
      <c r="E26" s="22">
        <f>IFERROR(Tabla3[[#This Row],[Cantidad producida]]/Tabla3[[#This Row],[Cantidad teórica]],"")</f>
        <v>0.24355029585798815</v>
      </c>
      <c r="F26" s="22">
        <f>IF(Tabla3[[#This Row],[Fecha]]&lt;53,"",IFERROR(Tabla3[[#This Row],[Horas]]/$F$1,""))</f>
        <v>0.93888888888888888</v>
      </c>
      <c r="G26" s="15" t="str">
        <f>IF(Tabla3[[#This Row],[Disponibilidad]]="","",IF(Tabla3[[#This Row],[Disponibilidad]]&gt;1,"NO",""))</f>
        <v/>
      </c>
      <c r="H26" t="str">
        <f>IFERROR(IF(VLOOKUP(Tabla3[[#This Row],[Fecha]],Tabla1[[Día]:[P/LC/CF/CL]],5,FALSE)="LC","SI",""),"")</f>
        <v/>
      </c>
      <c r="I26" s="22">
        <f>IFERROR(Tabla3[[#This Row],[Disponibilidad]]*Tabla3[[#This Row],[Rendimiento]], IF(Tabla3[[#This Row],[LC]]="SI", 0, "No"))</f>
        <v>0.22866666666666666</v>
      </c>
      <c r="J26" s="16">
        <f>IF(Tabla3[[#This Row],[OEE]]="No","",WEEKNUM(Tabla3[[#This Row],[Fecha]]))</f>
        <v>8</v>
      </c>
      <c r="K26" s="27">
        <f>IFERROR(IF(Tabla3[[#This Row],[OEE]]&lt;&gt;"No",Tabla3[[#This Row],[OEE]]/Tabla3[[#This Row],[Disponibilidad]],""),0)</f>
        <v>0.24355029585798815</v>
      </c>
    </row>
    <row r="27" spans="1:11" x14ac:dyDescent="0.25">
      <c r="A27" s="2">
        <v>45708</v>
      </c>
      <c r="B27" s="5">
        <f>SUMIFS('paradas-disp'!F:F,'paradas-disp'!A:A,Tabla3[[#This Row],[Fecha]])</f>
        <v>9.375E-2</v>
      </c>
      <c r="C27">
        <f>SUMIFS('paradas-disp'!I:I,'paradas-disp'!A:A,Tabla3[[#This Row],[Fecha]])</f>
        <v>1000</v>
      </c>
      <c r="D27" s="15">
        <f>IF(Tabla3[[#This Row],[Fecha]]&lt;53,"",IFERROR(((HOUR(Tabla3[[#This Row],[Horas]])*60+MINUTE(Tabla3[[#This Row],[Horas]]))/60)*$D$1,""))</f>
        <v>4050</v>
      </c>
      <c r="E27" s="22">
        <f>IFERROR(Tabla3[[#This Row],[Cantidad producida]]/Tabla3[[#This Row],[Cantidad teórica]],"")</f>
        <v>0.24691358024691357</v>
      </c>
      <c r="F27" s="22">
        <f>IF(Tabla3[[#This Row],[Fecha]]&lt;53,"",IFERROR(Tabla3[[#This Row],[Horas]]/$F$1,""))</f>
        <v>0.15</v>
      </c>
      <c r="G27" s="15" t="str">
        <f>IF(Tabla3[[#This Row],[Disponibilidad]]="","",IF(Tabla3[[#This Row],[Disponibilidad]]&gt;1,"NO",""))</f>
        <v/>
      </c>
      <c r="H27" t="str">
        <f>IFERROR(IF(VLOOKUP(Tabla3[[#This Row],[Fecha]],Tabla1[[Día]:[P/LC/CF/CL]],5,FALSE)="LC","SI",""),"")</f>
        <v/>
      </c>
      <c r="I27" s="22">
        <f>IFERROR(Tabla3[[#This Row],[Disponibilidad]]*Tabla3[[#This Row],[Rendimiento]], IF(Tabla3[[#This Row],[LC]]="SI", 0, "No"))</f>
        <v>3.7037037037037035E-2</v>
      </c>
      <c r="J27" s="16">
        <f>IF(Tabla3[[#This Row],[OEE]]="No","",WEEKNUM(Tabla3[[#This Row],[Fecha]]))</f>
        <v>8</v>
      </c>
      <c r="K27" s="27">
        <f>IFERROR(IF(Tabla3[[#This Row],[OEE]]&lt;&gt;"No",Tabla3[[#This Row],[OEE]]/Tabla3[[#This Row],[Disponibilidad]],""),0)</f>
        <v>0.24691358024691357</v>
      </c>
    </row>
    <row r="28" spans="1:11" x14ac:dyDescent="0.25">
      <c r="A28" s="2">
        <v>45709</v>
      </c>
      <c r="B28" s="5">
        <f>SUMIFS('paradas-disp'!F:F,'paradas-disp'!A:A,Tabla3[[#This Row],[Fecha]])</f>
        <v>0</v>
      </c>
      <c r="D28" s="15">
        <f>IF(Tabla3[[#This Row],[Fecha]]&lt;53,"",IFERROR(((HOUR(Tabla3[[#This Row],[Horas]])*60+MINUTE(Tabla3[[#This Row],[Horas]]))/60)*$D$1,""))</f>
        <v>0</v>
      </c>
      <c r="E28" s="22" t="str">
        <f>IFERROR(Tabla3[[#This Row],[Cantidad producida]]/Tabla3[[#This Row],[Cantidad teórica]],"")</f>
        <v/>
      </c>
      <c r="F28" s="22">
        <f>IF(Tabla3[[#This Row],[Fecha]]&lt;53,"",IFERROR(Tabla3[[#This Row],[Horas]]/$F$1,""))</f>
        <v>0</v>
      </c>
      <c r="G28" s="15" t="str">
        <f>IF(Tabla3[[#This Row],[Disponibilidad]]="","",IF(Tabla3[[#This Row],[Disponibilidad]]&gt;1,"NO",""))</f>
        <v/>
      </c>
      <c r="H28" t="str">
        <f>IFERROR(IF(VLOOKUP(Tabla3[[#This Row],[Fecha]],Tabla1[[Día]:[P/LC/CF/CL]],5,FALSE)="LC","SI",""),"")</f>
        <v/>
      </c>
      <c r="I28" s="22" t="str">
        <f>IFERROR(Tabla3[[#This Row],[Disponibilidad]]*Tabla3[[#This Row],[Rendimiento]], IF(Tabla3[[#This Row],[LC]]="SI", 0, "No"))</f>
        <v>No</v>
      </c>
      <c r="J28" s="16" t="str">
        <f>IF(Tabla3[[#This Row],[OEE]]="No","",WEEKNUM(Tabla3[[#This Row],[Fecha]]))</f>
        <v/>
      </c>
      <c r="K28" s="27" t="str">
        <f>IFERROR(IF(Tabla3[[#This Row],[OEE]]&lt;&gt;"No",Tabla3[[#This Row],[OEE]]/Tabla3[[#This Row],[Disponibilidad]],""),0)</f>
        <v/>
      </c>
    </row>
    <row r="29" spans="1:11" x14ac:dyDescent="0.25">
      <c r="A29" s="2">
        <v>45710</v>
      </c>
      <c r="B29" s="5">
        <f>SUMIFS('paradas-disp'!F:F,'paradas-disp'!A:A,Tabla3[[#This Row],[Fecha]])</f>
        <v>0</v>
      </c>
      <c r="D29" s="15">
        <f>IF(Tabla3[[#This Row],[Fecha]]&lt;53,"",IFERROR(((HOUR(Tabla3[[#This Row],[Horas]])*60+MINUTE(Tabla3[[#This Row],[Horas]]))/60)*$D$1,""))</f>
        <v>0</v>
      </c>
      <c r="E29" s="22" t="str">
        <f>IFERROR(Tabla3[[#This Row],[Cantidad producida]]/Tabla3[[#This Row],[Cantidad teórica]],"")</f>
        <v/>
      </c>
      <c r="F29" s="22">
        <f>IF(Tabla3[[#This Row],[Fecha]]&lt;53,"",IFERROR(Tabla3[[#This Row],[Horas]]/$F$1,""))</f>
        <v>0</v>
      </c>
      <c r="G29" s="15" t="str">
        <f>IF(Tabla3[[#This Row],[Disponibilidad]]="","",IF(Tabla3[[#This Row],[Disponibilidad]]&gt;1,"NO",""))</f>
        <v/>
      </c>
      <c r="H29" t="str">
        <f>IFERROR(IF(VLOOKUP(Tabla3[[#This Row],[Fecha]],Tabla1[[Día]:[P/LC/CF/CL]],5,FALSE)="LC","SI",""),"")</f>
        <v/>
      </c>
      <c r="I29" s="22" t="str">
        <f>IFERROR(Tabla3[[#This Row],[Disponibilidad]]*Tabla3[[#This Row],[Rendimiento]], IF(Tabla3[[#This Row],[LC]]="SI", 0, "No"))</f>
        <v>No</v>
      </c>
      <c r="J29" s="16" t="str">
        <f>IF(Tabla3[[#This Row],[OEE]]="No","",WEEKNUM(Tabla3[[#This Row],[Fecha]]))</f>
        <v/>
      </c>
      <c r="K29" s="27" t="str">
        <f>IFERROR(IF(Tabla3[[#This Row],[OEE]]&lt;&gt;"No",Tabla3[[#This Row],[OEE]]/Tabla3[[#This Row],[Disponibilidad]],""),0)</f>
        <v/>
      </c>
    </row>
    <row r="30" spans="1:11" x14ac:dyDescent="0.25">
      <c r="A30" s="2">
        <v>45711</v>
      </c>
      <c r="B30" s="5">
        <f>SUMIFS('paradas-disp'!F:F,'paradas-disp'!A:A,Tabla3[[#This Row],[Fecha]])</f>
        <v>0</v>
      </c>
      <c r="D30" s="15">
        <f>IF(Tabla3[[#This Row],[Fecha]]&lt;53,"",IFERROR(((HOUR(Tabla3[[#This Row],[Horas]])*60+MINUTE(Tabla3[[#This Row],[Horas]]))/60)*$D$1,""))</f>
        <v>0</v>
      </c>
      <c r="E30" s="22" t="str">
        <f>IFERROR(Tabla3[[#This Row],[Cantidad producida]]/Tabla3[[#This Row],[Cantidad teórica]],"")</f>
        <v/>
      </c>
      <c r="F30" s="22">
        <f>IF(Tabla3[[#This Row],[Fecha]]&lt;53,"",IFERROR(Tabla3[[#This Row],[Horas]]/$F$1,""))</f>
        <v>0</v>
      </c>
      <c r="G30" s="15" t="str">
        <f>IF(Tabla3[[#This Row],[Disponibilidad]]="","",IF(Tabla3[[#This Row],[Disponibilidad]]&gt;1,"NO",""))</f>
        <v/>
      </c>
      <c r="H30" t="str">
        <f>IFERROR(IF(VLOOKUP(Tabla3[[#This Row],[Fecha]],Tabla1[[Día]:[P/LC/CF/CL]],5,FALSE)="LC","SI",""),"")</f>
        <v/>
      </c>
      <c r="I30" s="22" t="str">
        <f>IFERROR(Tabla3[[#This Row],[Disponibilidad]]*Tabla3[[#This Row],[Rendimiento]], IF(Tabla3[[#This Row],[LC]]="SI", 0, "No"))</f>
        <v>No</v>
      </c>
      <c r="J30" s="16" t="str">
        <f>IF(Tabla3[[#This Row],[OEE]]="No","",WEEKNUM(Tabla3[[#This Row],[Fecha]]))</f>
        <v/>
      </c>
      <c r="K30" s="27" t="str">
        <f>IFERROR(IF(Tabla3[[#This Row],[OEE]]&lt;&gt;"No",Tabla3[[#This Row],[OEE]]/Tabla3[[#This Row],[Disponibilidad]],""),0)</f>
        <v/>
      </c>
    </row>
    <row r="31" spans="1:11" x14ac:dyDescent="0.25">
      <c r="A31" s="2">
        <v>45712</v>
      </c>
      <c r="B31" s="5">
        <f>SUMIFS('paradas-disp'!F:F,'paradas-disp'!A:A,Tabla3[[#This Row],[Fecha]])</f>
        <v>0</v>
      </c>
      <c r="D31" s="15">
        <f>IF(Tabla3[[#This Row],[Fecha]]&lt;53,"",IFERROR(((HOUR(Tabla3[[#This Row],[Horas]])*60+MINUTE(Tabla3[[#This Row],[Horas]]))/60)*$D$1,""))</f>
        <v>0</v>
      </c>
      <c r="E31" s="22" t="str">
        <f>IFERROR(Tabla3[[#This Row],[Cantidad producida]]/Tabla3[[#This Row],[Cantidad teórica]],"")</f>
        <v/>
      </c>
      <c r="F31" s="22">
        <f>IF(Tabla3[[#This Row],[Fecha]]&lt;53,"",IFERROR(Tabla3[[#This Row],[Horas]]/$F$1,""))</f>
        <v>0</v>
      </c>
      <c r="G31" s="15" t="str">
        <f>IF(Tabla3[[#This Row],[Disponibilidad]]="","",IF(Tabla3[[#This Row],[Disponibilidad]]&gt;1,"NO",""))</f>
        <v/>
      </c>
      <c r="H31" t="str">
        <f>IFERROR(IF(VLOOKUP(Tabla3[[#This Row],[Fecha]],Tabla1[[Día]:[P/LC/CF/CL]],5,FALSE)="LC","SI",""),"")</f>
        <v/>
      </c>
      <c r="I31" s="22" t="str">
        <f>IFERROR(Tabla3[[#This Row],[Disponibilidad]]*Tabla3[[#This Row],[Rendimiento]], IF(Tabla3[[#This Row],[LC]]="SI", 0, "No"))</f>
        <v>No</v>
      </c>
      <c r="J31" s="16" t="str">
        <f>IF(Tabla3[[#This Row],[OEE]]="No","",WEEKNUM(Tabla3[[#This Row],[Fecha]]))</f>
        <v/>
      </c>
      <c r="K31" s="27" t="str">
        <f>IFERROR(IF(Tabla3[[#This Row],[OEE]]&lt;&gt;"No",Tabla3[[#This Row],[OEE]]/Tabla3[[#This Row],[Disponibilidad]],""),0)</f>
        <v/>
      </c>
    </row>
    <row r="32" spans="1:11" x14ac:dyDescent="0.25">
      <c r="A32" s="2">
        <v>45713</v>
      </c>
      <c r="B32" s="5">
        <f>SUMIFS('paradas-disp'!F:F,'paradas-disp'!A:A,Tabla3[[#This Row],[Fecha]])</f>
        <v>0</v>
      </c>
      <c r="D32" s="15">
        <f>IF(Tabla3[[#This Row],[Fecha]]&lt;53,"",IFERROR(((HOUR(Tabla3[[#This Row],[Horas]])*60+MINUTE(Tabla3[[#This Row],[Horas]]))/60)*$D$1,""))</f>
        <v>0</v>
      </c>
      <c r="E32" s="22" t="str">
        <f>IFERROR(Tabla3[[#This Row],[Cantidad producida]]/Tabla3[[#This Row],[Cantidad teórica]],"")</f>
        <v/>
      </c>
      <c r="F32" s="22">
        <f>IF(Tabla3[[#This Row],[Fecha]]&lt;53,"",IFERROR(Tabla3[[#This Row],[Horas]]/$F$1,""))</f>
        <v>0</v>
      </c>
      <c r="G32" s="15" t="str">
        <f>IF(Tabla3[[#This Row],[Disponibilidad]]="","",IF(Tabla3[[#This Row],[Disponibilidad]]&gt;1,"NO",""))</f>
        <v/>
      </c>
      <c r="H32" t="str">
        <f>IFERROR(IF(VLOOKUP(Tabla3[[#This Row],[Fecha]],Tabla1[[Día]:[P/LC/CF/CL]],5,FALSE)="LC","SI",""),"")</f>
        <v/>
      </c>
      <c r="I32" s="22" t="str">
        <f>IFERROR(Tabla3[[#This Row],[Disponibilidad]]*Tabla3[[#This Row],[Rendimiento]], IF(Tabla3[[#This Row],[LC]]="SI", 0, "No"))</f>
        <v>No</v>
      </c>
      <c r="J32" s="16" t="str">
        <f>IF(Tabla3[[#This Row],[OEE]]="No","",WEEKNUM(Tabla3[[#This Row],[Fecha]]))</f>
        <v/>
      </c>
      <c r="K32" s="27" t="str">
        <f>IFERROR(IF(Tabla3[[#This Row],[OEE]]&lt;&gt;"No",Tabla3[[#This Row],[OEE]]/Tabla3[[#This Row],[Disponibilidad]],""),0)</f>
        <v/>
      </c>
    </row>
    <row r="33" spans="1:11" x14ac:dyDescent="0.25">
      <c r="A33" s="2">
        <v>45714</v>
      </c>
      <c r="B33" s="5">
        <f>SUMIFS('paradas-disp'!F:F,'paradas-disp'!A:A,Tabla3[[#This Row],[Fecha]])</f>
        <v>0</v>
      </c>
      <c r="D33" s="15">
        <f>IF(Tabla3[[#This Row],[Fecha]]&lt;53,"",IFERROR(((HOUR(Tabla3[[#This Row],[Horas]])*60+MINUTE(Tabla3[[#This Row],[Horas]]))/60)*$D$1,""))</f>
        <v>0</v>
      </c>
      <c r="E33" s="22" t="str">
        <f>IFERROR(Tabla3[[#This Row],[Cantidad producida]]/Tabla3[[#This Row],[Cantidad teórica]],"")</f>
        <v/>
      </c>
      <c r="F33" s="22">
        <f>IF(Tabla3[[#This Row],[Fecha]]&lt;53,"",IFERROR(Tabla3[[#This Row],[Horas]]/$F$1,""))</f>
        <v>0</v>
      </c>
      <c r="G33" s="15" t="str">
        <f>IF(Tabla3[[#This Row],[Disponibilidad]]="","",IF(Tabla3[[#This Row],[Disponibilidad]]&gt;1,"NO",""))</f>
        <v/>
      </c>
      <c r="H33" t="str">
        <f>IFERROR(IF(VLOOKUP(Tabla3[[#This Row],[Fecha]],Tabla1[[Día]:[P/LC/CF/CL]],5,FALSE)="LC","SI",""),"")</f>
        <v/>
      </c>
      <c r="I33" s="22" t="str">
        <f>IFERROR(Tabla3[[#This Row],[Disponibilidad]]*Tabla3[[#This Row],[Rendimiento]], IF(Tabla3[[#This Row],[LC]]="SI", 0, "No"))</f>
        <v>No</v>
      </c>
      <c r="J33" s="16" t="str">
        <f>IF(Tabla3[[#This Row],[OEE]]="No","",WEEKNUM(Tabla3[[#This Row],[Fecha]]))</f>
        <v/>
      </c>
      <c r="K33" s="27" t="str">
        <f>IFERROR(IF(Tabla3[[#This Row],[OEE]]&lt;&gt;"No",Tabla3[[#This Row],[OEE]]/Tabla3[[#This Row],[Disponibilidad]],""),0)</f>
        <v/>
      </c>
    </row>
    <row r="34" spans="1:11" x14ac:dyDescent="0.25">
      <c r="A34" s="2">
        <v>45715</v>
      </c>
      <c r="B34" s="5">
        <f>SUMIFS('paradas-disp'!F:F,'paradas-disp'!A:A,Tabla3[[#This Row],[Fecha]])</f>
        <v>0</v>
      </c>
      <c r="D34" s="15">
        <f>IF(Tabla3[[#This Row],[Fecha]]&lt;53,"",IFERROR(((HOUR(Tabla3[[#This Row],[Horas]])*60+MINUTE(Tabla3[[#This Row],[Horas]]))/60)*$D$1,""))</f>
        <v>0</v>
      </c>
      <c r="E34" s="22" t="str">
        <f>IFERROR(Tabla3[[#This Row],[Cantidad producida]]/Tabla3[[#This Row],[Cantidad teórica]],"")</f>
        <v/>
      </c>
      <c r="F34" s="22">
        <f>IF(Tabla3[[#This Row],[Fecha]]&lt;53,"",IFERROR(Tabla3[[#This Row],[Horas]]/$F$1,""))</f>
        <v>0</v>
      </c>
      <c r="G34" s="15" t="str">
        <f>IF(Tabla3[[#This Row],[Disponibilidad]]="","",IF(Tabla3[[#This Row],[Disponibilidad]]&gt;1,"NO",""))</f>
        <v/>
      </c>
      <c r="H34" t="str">
        <f>IFERROR(IF(VLOOKUP(Tabla3[[#This Row],[Fecha]],Tabla1[[Día]:[P/LC/CF/CL]],5,FALSE)="LC","SI",""),"")</f>
        <v/>
      </c>
      <c r="I34" s="22" t="str">
        <f>IFERROR(Tabla3[[#This Row],[Disponibilidad]]*Tabla3[[#This Row],[Rendimiento]], IF(Tabla3[[#This Row],[LC]]="SI", 0, "No"))</f>
        <v>No</v>
      </c>
      <c r="J34" s="16" t="str">
        <f>IF(Tabla3[[#This Row],[OEE]]="No","",WEEKNUM(Tabla3[[#This Row],[Fecha]]))</f>
        <v/>
      </c>
      <c r="K34" s="27" t="str">
        <f>IFERROR(IF(Tabla3[[#This Row],[OEE]]&lt;&gt;"No",Tabla3[[#This Row],[OEE]]/Tabla3[[#This Row],[Disponibilidad]],""),0)</f>
        <v/>
      </c>
    </row>
    <row r="35" spans="1:11" x14ac:dyDescent="0.25">
      <c r="A35" s="2">
        <v>45716</v>
      </c>
      <c r="B35" s="5">
        <f>SUMIFS('paradas-disp'!F:F,'paradas-disp'!A:A,Tabla3[[#This Row],[Fecha]])</f>
        <v>0.39236111111111099</v>
      </c>
      <c r="C35">
        <f>SUMIFS('paradas-disp'!I:I,'paradas-disp'!A:A,Tabla3[[#This Row],[Fecha]])</f>
        <v>7033</v>
      </c>
      <c r="D35" s="15">
        <f>IF(Tabla3[[#This Row],[Fecha]]&lt;53,"",IFERROR(((HOUR(Tabla3[[#This Row],[Horas]])*60+MINUTE(Tabla3[[#This Row],[Horas]]))/60)*$D$1,""))</f>
        <v>16950</v>
      </c>
      <c r="E35" s="22">
        <f>IFERROR(Tabla3[[#This Row],[Cantidad producida]]/Tabla3[[#This Row],[Cantidad teórica]],"")</f>
        <v>0.41492625368731562</v>
      </c>
      <c r="F35" s="22">
        <f>IF(Tabla3[[#This Row],[Fecha]]&lt;53,"",IFERROR(Tabla3[[#This Row],[Horas]]/$F$1,""))</f>
        <v>0.62777777777777755</v>
      </c>
      <c r="G35" s="15" t="str">
        <f>IF(Tabla3[[#This Row],[Disponibilidad]]="","",IF(Tabla3[[#This Row],[Disponibilidad]]&gt;1,"NO",""))</f>
        <v/>
      </c>
      <c r="H35" t="str">
        <f>IFERROR(IF(VLOOKUP(Tabla3[[#This Row],[Fecha]],Tabla1[[Día]:[P/LC/CF/CL]],5,FALSE)="LC","SI",""),"")</f>
        <v/>
      </c>
      <c r="I35" s="22">
        <f>IFERROR(Tabla3[[#This Row],[Disponibilidad]]*Tabla3[[#This Row],[Rendimiento]], IF(Tabla3[[#This Row],[LC]]="SI", 0, "No"))</f>
        <v>0.26048148148148137</v>
      </c>
      <c r="J35" s="16">
        <f>IF(Tabla3[[#This Row],[OEE]]="No","",WEEKNUM(Tabla3[[#This Row],[Fecha]]))</f>
        <v>9</v>
      </c>
      <c r="K35" s="27">
        <f>IFERROR(IF(Tabla3[[#This Row],[OEE]]&lt;&gt;"No",Tabla3[[#This Row],[OEE]]/Tabla3[[#This Row],[Disponibilidad]],""),0)</f>
        <v>0.41492625368731562</v>
      </c>
    </row>
    <row r="36" spans="1:11" x14ac:dyDescent="0.25">
      <c r="A36" s="2">
        <v>45717</v>
      </c>
      <c r="B36" s="5">
        <f>SUMIFS('paradas-disp'!F:F,'paradas-disp'!A:A,Tabla3[[#This Row],[Fecha]])</f>
        <v>0</v>
      </c>
      <c r="D36" s="15">
        <f>IF(Tabla3[[#This Row],[Fecha]]&lt;53,"",IFERROR(((HOUR(Tabla3[[#This Row],[Horas]])*60+MINUTE(Tabla3[[#This Row],[Horas]]))/60)*$D$1,""))</f>
        <v>0</v>
      </c>
      <c r="E36" s="22" t="str">
        <f>IFERROR(Tabla3[[#This Row],[Cantidad producida]]/Tabla3[[#This Row],[Cantidad teórica]],"")</f>
        <v/>
      </c>
      <c r="F36" s="22">
        <f>IF(Tabla3[[#This Row],[Fecha]]&lt;53,"",IFERROR(Tabla3[[#This Row],[Horas]]/$F$1,""))</f>
        <v>0</v>
      </c>
      <c r="G36" s="15" t="str">
        <f>IF(Tabla3[[#This Row],[Disponibilidad]]="","",IF(Tabla3[[#This Row],[Disponibilidad]]&gt;1,"NO",""))</f>
        <v/>
      </c>
      <c r="H36" t="str">
        <f>IFERROR(IF(VLOOKUP(Tabla3[[#This Row],[Fecha]],Tabla1[[Día]:[P/LC/CF/CL]],5,FALSE)="LC","SI",""),"")</f>
        <v/>
      </c>
      <c r="I36" s="22" t="str">
        <f>IFERROR(Tabla3[[#This Row],[Disponibilidad]]*Tabla3[[#This Row],[Rendimiento]], IF(Tabla3[[#This Row],[LC]]="SI", 0, "No"))</f>
        <v>No</v>
      </c>
      <c r="J36" s="16" t="str">
        <f>IF(Tabla3[[#This Row],[OEE]]="No","",WEEKNUM(Tabla3[[#This Row],[Fecha]]))</f>
        <v/>
      </c>
      <c r="K36" s="27" t="str">
        <f>IFERROR(IF(Tabla3[[#This Row],[OEE]]&lt;&gt;"No",Tabla3[[#This Row],[OEE]]/Tabla3[[#This Row],[Disponibilidad]],""),0)</f>
        <v/>
      </c>
    </row>
    <row r="37" spans="1:11" x14ac:dyDescent="0.25">
      <c r="A37" s="2">
        <v>45718</v>
      </c>
      <c r="B37" s="5">
        <f>SUMIFS('paradas-disp'!F:F,'paradas-disp'!A:A,Tabla3[[#This Row],[Fecha]])</f>
        <v>0</v>
      </c>
      <c r="D37" s="15">
        <f>IF(Tabla3[[#This Row],[Fecha]]&lt;53,"",IFERROR(((HOUR(Tabla3[[#This Row],[Horas]])*60+MINUTE(Tabla3[[#This Row],[Horas]]))/60)*$D$1,""))</f>
        <v>0</v>
      </c>
      <c r="E37" s="22" t="str">
        <f>IFERROR(Tabla3[[#This Row],[Cantidad producida]]/Tabla3[[#This Row],[Cantidad teórica]],"")</f>
        <v/>
      </c>
      <c r="F37" s="22">
        <f>IF(Tabla3[[#This Row],[Fecha]]&lt;53,"",IFERROR(Tabla3[[#This Row],[Horas]]/$F$1,""))</f>
        <v>0</v>
      </c>
      <c r="G37" s="15" t="str">
        <f>IF(Tabla3[[#This Row],[Disponibilidad]]="","",IF(Tabla3[[#This Row],[Disponibilidad]]&gt;1,"NO",""))</f>
        <v/>
      </c>
      <c r="H37" t="str">
        <f>IFERROR(IF(VLOOKUP(Tabla3[[#This Row],[Fecha]],Tabla1[[Día]:[P/LC/CF/CL]],5,FALSE)="LC","SI",""),"")</f>
        <v/>
      </c>
      <c r="I37" s="22" t="str">
        <f>IFERROR(Tabla3[[#This Row],[Disponibilidad]]*Tabla3[[#This Row],[Rendimiento]], IF(Tabla3[[#This Row],[LC]]="SI", 0, "No"))</f>
        <v>No</v>
      </c>
      <c r="J37" s="16" t="str">
        <f>IF(Tabla3[[#This Row],[OEE]]="No","",WEEKNUM(Tabla3[[#This Row],[Fecha]]))</f>
        <v/>
      </c>
      <c r="K37" s="27" t="str">
        <f>IFERROR(IF(Tabla3[[#This Row],[OEE]]&lt;&gt;"No",Tabla3[[#This Row],[OEE]]/Tabla3[[#This Row],[Disponibilidad]],""),0)</f>
        <v/>
      </c>
    </row>
    <row r="38" spans="1:11" x14ac:dyDescent="0.25">
      <c r="A38" s="2">
        <v>45719</v>
      </c>
      <c r="B38" s="5">
        <f>SUMIFS('paradas-disp'!F:F,'paradas-disp'!A:A,Tabla3[[#This Row],[Fecha]])</f>
        <v>0.37152777777777785</v>
      </c>
      <c r="C38">
        <f>SUMIFS('paradas-disp'!I:I,'paradas-disp'!A:A,Tabla3[[#This Row],[Fecha]])</f>
        <v>5828</v>
      </c>
      <c r="D38" s="15">
        <f>IF(Tabla3[[#This Row],[Fecha]]&lt;53,"",IFERROR(((HOUR(Tabla3[[#This Row],[Horas]])*60+MINUTE(Tabla3[[#This Row],[Horas]]))/60)*$D$1,""))</f>
        <v>16049.999999999998</v>
      </c>
      <c r="E38" s="22">
        <f>IFERROR(Tabla3[[#This Row],[Cantidad producida]]/Tabla3[[#This Row],[Cantidad teórica]],"")</f>
        <v>0.36311526479750783</v>
      </c>
      <c r="F38" s="22">
        <f>IF(Tabla3[[#This Row],[Fecha]]&lt;53,"",IFERROR(Tabla3[[#This Row],[Horas]]/$F$1,""))</f>
        <v>0.59444444444444455</v>
      </c>
      <c r="G38" s="15" t="str">
        <f>IF(Tabla3[[#This Row],[Disponibilidad]]="","",IF(Tabla3[[#This Row],[Disponibilidad]]&gt;1,"NO",""))</f>
        <v/>
      </c>
      <c r="H38" t="str">
        <f>IFERROR(IF(VLOOKUP(Tabla3[[#This Row],[Fecha]],Tabla1[[Día]:[P/LC/CF/CL]],5,FALSE)="LC","SI",""),"")</f>
        <v/>
      </c>
      <c r="I38" s="22">
        <f>IFERROR(Tabla3[[#This Row],[Disponibilidad]]*Tabla3[[#This Row],[Rendimiento]], IF(Tabla3[[#This Row],[LC]]="SI", 0, "No"))</f>
        <v>0.21585185185185191</v>
      </c>
      <c r="J38" s="16">
        <f>IF(Tabla3[[#This Row],[OEE]]="No","",WEEKNUM(Tabla3[[#This Row],[Fecha]]))</f>
        <v>10</v>
      </c>
      <c r="K38" s="27">
        <f>IFERROR(IF(Tabla3[[#This Row],[OEE]]&lt;&gt;"No",Tabla3[[#This Row],[OEE]]/Tabla3[[#This Row],[Disponibilidad]],""),0)</f>
        <v>0.36311526479750783</v>
      </c>
    </row>
    <row r="39" spans="1:11" x14ac:dyDescent="0.25">
      <c r="A39" s="2">
        <v>45720</v>
      </c>
      <c r="B39" s="5">
        <f>SUMIFS('paradas-disp'!F:F,'paradas-disp'!A:A,Tabla3[[#This Row],[Fecha]])</f>
        <v>0.1875</v>
      </c>
      <c r="C39">
        <f>SUMIFS('paradas-disp'!I:I,'paradas-disp'!A:A,Tabla3[[#This Row],[Fecha]])</f>
        <v>2670</v>
      </c>
      <c r="D39" s="15">
        <f>IF(Tabla3[[#This Row],[Fecha]]&lt;53,"",IFERROR(((HOUR(Tabla3[[#This Row],[Horas]])*60+MINUTE(Tabla3[[#This Row],[Horas]]))/60)*$D$1,""))</f>
        <v>8100</v>
      </c>
      <c r="E39" s="22">
        <f>IFERROR(Tabla3[[#This Row],[Cantidad producida]]/Tabla3[[#This Row],[Cantidad teórica]],"")</f>
        <v>0.32962962962962961</v>
      </c>
      <c r="F39" s="22">
        <f>IF(Tabla3[[#This Row],[Fecha]]&lt;53,"",IFERROR(Tabla3[[#This Row],[Horas]]/$F$1,""))</f>
        <v>0.3</v>
      </c>
      <c r="G39" s="15" t="str">
        <f>IF(Tabla3[[#This Row],[Disponibilidad]]="","",IF(Tabla3[[#This Row],[Disponibilidad]]&gt;1,"NO",""))</f>
        <v/>
      </c>
      <c r="H39" t="str">
        <f>IFERROR(IF(VLOOKUP(Tabla3[[#This Row],[Fecha]],Tabla1[[Día]:[P/LC/CF/CL]],5,FALSE)="LC","SI",""),"")</f>
        <v/>
      </c>
      <c r="I39" s="22">
        <f>IFERROR(Tabla3[[#This Row],[Disponibilidad]]*Tabla3[[#This Row],[Rendimiento]], IF(Tabla3[[#This Row],[LC]]="SI", 0, "No"))</f>
        <v>9.8888888888888873E-2</v>
      </c>
      <c r="J39" s="16">
        <f>IF(Tabla3[[#This Row],[OEE]]="No","",WEEKNUM(Tabla3[[#This Row],[Fecha]]))</f>
        <v>10</v>
      </c>
      <c r="K39" s="27">
        <f>IFERROR(IF(Tabla3[[#This Row],[OEE]]&lt;&gt;"No",Tabla3[[#This Row],[OEE]]/Tabla3[[#This Row],[Disponibilidad]],""),0)</f>
        <v>0.32962962962962961</v>
      </c>
    </row>
    <row r="40" spans="1:11" x14ac:dyDescent="0.25">
      <c r="A40" s="2">
        <v>45721</v>
      </c>
      <c r="B40" s="5">
        <f>SUMIFS('paradas-disp'!F:F,'paradas-disp'!A:A,Tabla3[[#This Row],[Fecha]])</f>
        <v>0.14930555555555558</v>
      </c>
      <c r="C40">
        <f>SUMIFS('paradas-disp'!I:I,'paradas-disp'!A:A,Tabla3[[#This Row],[Fecha]])</f>
        <v>1353</v>
      </c>
      <c r="D40" s="15">
        <f>IF(Tabla3[[#This Row],[Fecha]]&lt;53,"",IFERROR(((HOUR(Tabla3[[#This Row],[Horas]])*60+MINUTE(Tabla3[[#This Row],[Horas]]))/60)*$D$1,""))</f>
        <v>6450</v>
      </c>
      <c r="E40" s="22">
        <f>IFERROR(Tabla3[[#This Row],[Cantidad producida]]/Tabla3[[#This Row],[Cantidad teórica]],"")</f>
        <v>0.20976744186046511</v>
      </c>
      <c r="F40" s="22">
        <f>IF(Tabla3[[#This Row],[Fecha]]&lt;53,"",IFERROR(Tabla3[[#This Row],[Horas]]/$F$1,""))</f>
        <v>0.23888888888888893</v>
      </c>
      <c r="G40" s="15" t="str">
        <f>IF(Tabla3[[#This Row],[Disponibilidad]]="","",IF(Tabla3[[#This Row],[Disponibilidad]]&gt;1,"NO",""))</f>
        <v/>
      </c>
      <c r="H40" t="str">
        <f>IFERROR(IF(VLOOKUP(Tabla3[[#This Row],[Fecha]],Tabla1[[Día]:[P/LC/CF/CL]],5,FALSE)="LC","SI",""),"")</f>
        <v/>
      </c>
      <c r="I40" s="22">
        <f>IFERROR(Tabla3[[#This Row],[Disponibilidad]]*Tabla3[[#This Row],[Rendimiento]], IF(Tabla3[[#This Row],[LC]]="SI", 0, "No"))</f>
        <v>5.011111111111112E-2</v>
      </c>
      <c r="J40" s="16">
        <f>IF(Tabla3[[#This Row],[OEE]]="No","",WEEKNUM(Tabla3[[#This Row],[Fecha]]))</f>
        <v>10</v>
      </c>
      <c r="K40" s="27">
        <f>IFERROR(IF(Tabla3[[#This Row],[OEE]]&lt;&gt;"No",Tabla3[[#This Row],[OEE]]/Tabla3[[#This Row],[Disponibilidad]],""),0)</f>
        <v>0.20976744186046511</v>
      </c>
    </row>
    <row r="41" spans="1:11" x14ac:dyDescent="0.25">
      <c r="A41" s="2">
        <v>45722</v>
      </c>
      <c r="B41" s="5">
        <f>SUMIFS('paradas-disp'!F:F,'paradas-disp'!A:A,Tabla3[[#This Row],[Fecha]])</f>
        <v>0.1527777777777779</v>
      </c>
      <c r="C41">
        <f>SUMIFS('paradas-disp'!I:I,'paradas-disp'!A:A,Tabla3[[#This Row],[Fecha]])</f>
        <v>3240</v>
      </c>
      <c r="D41" s="15">
        <f>IF(Tabla3[[#This Row],[Fecha]]&lt;53,"",IFERROR(((HOUR(Tabla3[[#This Row],[Horas]])*60+MINUTE(Tabla3[[#This Row],[Horas]]))/60)*$D$1,""))</f>
        <v>6600</v>
      </c>
      <c r="E41" s="22">
        <f>IFERROR(Tabla3[[#This Row],[Cantidad producida]]/Tabla3[[#This Row],[Cantidad teórica]],"")</f>
        <v>0.49090909090909091</v>
      </c>
      <c r="F41" s="22">
        <f>IF(Tabla3[[#This Row],[Fecha]]&lt;53,"",IFERROR(Tabla3[[#This Row],[Horas]]/$F$1,""))</f>
        <v>0.24444444444444463</v>
      </c>
      <c r="G41" s="15" t="str">
        <f>IF(Tabla3[[#This Row],[Disponibilidad]]="","",IF(Tabla3[[#This Row],[Disponibilidad]]&gt;1,"NO",""))</f>
        <v/>
      </c>
      <c r="H41" t="str">
        <f>IFERROR(IF(VLOOKUP(Tabla3[[#This Row],[Fecha]],Tabla1[[Día]:[P/LC/CF/CL]],5,FALSE)="LC","SI",""),"")</f>
        <v/>
      </c>
      <c r="I41" s="22">
        <f>IFERROR(Tabla3[[#This Row],[Disponibilidad]]*Tabla3[[#This Row],[Rendimiento]], IF(Tabla3[[#This Row],[LC]]="SI", 0, "No"))</f>
        <v>0.12000000000000009</v>
      </c>
      <c r="J41" s="16">
        <f>IF(Tabla3[[#This Row],[OEE]]="No","",WEEKNUM(Tabla3[[#This Row],[Fecha]]))</f>
        <v>10</v>
      </c>
      <c r="K41" s="27">
        <f>IFERROR(IF(Tabla3[[#This Row],[OEE]]&lt;&gt;"No",Tabla3[[#This Row],[OEE]]/Tabla3[[#This Row],[Disponibilidad]],""),0)</f>
        <v>0.49090909090909091</v>
      </c>
    </row>
    <row r="42" spans="1:11" x14ac:dyDescent="0.25">
      <c r="A42" s="2">
        <v>45723</v>
      </c>
      <c r="B42" s="5">
        <f>SUMIFS('paradas-disp'!F:F,'paradas-disp'!A:A,Tabla3[[#This Row],[Fecha]])</f>
        <v>0.60416666666666674</v>
      </c>
      <c r="C42">
        <f>SUMIFS('paradas-disp'!I:I,'paradas-disp'!A:A,Tabla3[[#This Row],[Fecha]])</f>
        <v>17304</v>
      </c>
      <c r="D42" s="15">
        <f>IF(Tabla3[[#This Row],[Fecha]]&lt;53,"",IFERROR(((HOUR(Tabla3[[#This Row],[Horas]])*60+MINUTE(Tabla3[[#This Row],[Horas]]))/60)*$D$1,""))</f>
        <v>26100</v>
      </c>
      <c r="E42" s="22">
        <f>IFERROR(Tabla3[[#This Row],[Cantidad producida]]/Tabla3[[#This Row],[Cantidad teórica]],"")</f>
        <v>0.66298850574712642</v>
      </c>
      <c r="F42" s="22">
        <f>IF(Tabla3[[#This Row],[Fecha]]&lt;53,"",IFERROR(Tabla3[[#This Row],[Horas]]/$F$1,""))</f>
        <v>0.96666666666666679</v>
      </c>
      <c r="G42" s="15" t="str">
        <f>IF(Tabla3[[#This Row],[Disponibilidad]]="","",IF(Tabla3[[#This Row],[Disponibilidad]]&gt;1,"NO",""))</f>
        <v/>
      </c>
      <c r="H42" t="str">
        <f>IFERROR(IF(VLOOKUP(Tabla3[[#This Row],[Fecha]],Tabla1[[Día]:[P/LC/CF/CL]],5,FALSE)="LC","SI",""),"")</f>
        <v/>
      </c>
      <c r="I42" s="22">
        <f>IFERROR(Tabla3[[#This Row],[Disponibilidad]]*Tabla3[[#This Row],[Rendimiento]], IF(Tabla3[[#This Row],[LC]]="SI", 0, "No"))</f>
        <v>0.64088888888888895</v>
      </c>
      <c r="J42" s="16">
        <f>IF(Tabla3[[#This Row],[OEE]]="No","",WEEKNUM(Tabla3[[#This Row],[Fecha]]))</f>
        <v>10</v>
      </c>
      <c r="K42" s="27">
        <f>IFERROR(IF(Tabla3[[#This Row],[OEE]]&lt;&gt;"No",Tabla3[[#This Row],[OEE]]/Tabla3[[#This Row],[Disponibilidad]],""),0)</f>
        <v>0.66298850574712642</v>
      </c>
    </row>
    <row r="43" spans="1:11" x14ac:dyDescent="0.25">
      <c r="A43" s="2">
        <v>45724</v>
      </c>
      <c r="B43" s="5">
        <f>SUMIFS('paradas-disp'!F:F,'paradas-disp'!A:A,Tabla3[[#This Row],[Fecha]])</f>
        <v>0</v>
      </c>
      <c r="D43" s="15">
        <f>IF(Tabla3[[#This Row],[Fecha]]&lt;53,"",IFERROR(((HOUR(Tabla3[[#This Row],[Horas]])*60+MINUTE(Tabla3[[#This Row],[Horas]]))/60)*$D$1,""))</f>
        <v>0</v>
      </c>
      <c r="E43" s="22" t="str">
        <f>IFERROR(Tabla3[[#This Row],[Cantidad producida]]/Tabla3[[#This Row],[Cantidad teórica]],"")</f>
        <v/>
      </c>
      <c r="F43" s="22">
        <f>IF(Tabla3[[#This Row],[Fecha]]&lt;53,"",IFERROR(Tabla3[[#This Row],[Horas]]/$F$1,""))</f>
        <v>0</v>
      </c>
      <c r="G43" s="15" t="str">
        <f>IF(Tabla3[[#This Row],[Disponibilidad]]="","",IF(Tabla3[[#This Row],[Disponibilidad]]&gt;1,"NO",""))</f>
        <v/>
      </c>
      <c r="H43" t="str">
        <f>IFERROR(IF(VLOOKUP(Tabla3[[#This Row],[Fecha]],Tabla1[[Día]:[P/LC/CF/CL]],5,FALSE)="LC","SI",""),"")</f>
        <v/>
      </c>
      <c r="I43" s="22" t="str">
        <f>IFERROR(Tabla3[[#This Row],[Disponibilidad]]*Tabla3[[#This Row],[Rendimiento]], IF(Tabla3[[#This Row],[LC]]="SI", 0, "No"))</f>
        <v>No</v>
      </c>
      <c r="J43" s="16" t="str">
        <f>IF(Tabla3[[#This Row],[OEE]]="No","",WEEKNUM(Tabla3[[#This Row],[Fecha]]))</f>
        <v/>
      </c>
      <c r="K43" s="27" t="str">
        <f>IFERROR(IF(Tabla3[[#This Row],[OEE]]&lt;&gt;"No",Tabla3[[#This Row],[OEE]]/Tabla3[[#This Row],[Disponibilidad]],""),0)</f>
        <v/>
      </c>
    </row>
    <row r="44" spans="1:11" x14ac:dyDescent="0.25">
      <c r="A44" s="2">
        <v>45725</v>
      </c>
      <c r="B44" s="5">
        <f>SUMIFS('paradas-disp'!F:F,'paradas-disp'!A:A,Tabla3[[#This Row],[Fecha]])</f>
        <v>0</v>
      </c>
      <c r="D44" s="15">
        <f>IF(Tabla3[[#This Row],[Fecha]]&lt;53,"",IFERROR(((HOUR(Tabla3[[#This Row],[Horas]])*60+MINUTE(Tabla3[[#This Row],[Horas]]))/60)*$D$1,""))</f>
        <v>0</v>
      </c>
      <c r="E44" s="22" t="str">
        <f>IFERROR(Tabla3[[#This Row],[Cantidad producida]]/Tabla3[[#This Row],[Cantidad teórica]],"")</f>
        <v/>
      </c>
      <c r="F44" s="22">
        <f>IF(Tabla3[[#This Row],[Fecha]]&lt;53,"",IFERROR(Tabla3[[#This Row],[Horas]]/$F$1,""))</f>
        <v>0</v>
      </c>
      <c r="G44" s="15" t="str">
        <f>IF(Tabla3[[#This Row],[Disponibilidad]]="","",IF(Tabla3[[#This Row],[Disponibilidad]]&gt;1,"NO",""))</f>
        <v/>
      </c>
      <c r="H44" t="str">
        <f>IFERROR(IF(VLOOKUP(Tabla3[[#This Row],[Fecha]],Tabla1[[Día]:[P/LC/CF/CL]],5,FALSE)="LC","SI",""),"")</f>
        <v/>
      </c>
      <c r="I44" s="22" t="str">
        <f>IFERROR(Tabla3[[#This Row],[Disponibilidad]]*Tabla3[[#This Row],[Rendimiento]], IF(Tabla3[[#This Row],[LC]]="SI", 0, "No"))</f>
        <v>No</v>
      </c>
      <c r="J44" s="16" t="str">
        <f>IF(Tabla3[[#This Row],[OEE]]="No","",WEEKNUM(Tabla3[[#This Row],[Fecha]]))</f>
        <v/>
      </c>
      <c r="K44" s="27" t="str">
        <f>IFERROR(IF(Tabla3[[#This Row],[OEE]]&lt;&gt;"No",Tabla3[[#This Row],[OEE]]/Tabla3[[#This Row],[Disponibilidad]],""),0)</f>
        <v/>
      </c>
    </row>
    <row r="45" spans="1:11" x14ac:dyDescent="0.25">
      <c r="A45" s="2">
        <v>45726</v>
      </c>
      <c r="B45" s="5">
        <f>SUMIFS('paradas-disp'!F:F,'paradas-disp'!A:A,Tabla3[[#This Row],[Fecha]])</f>
        <v>0.55208333333333326</v>
      </c>
      <c r="C45">
        <f>SUMIFS('paradas-disp'!I:I,'paradas-disp'!A:A,Tabla3[[#This Row],[Fecha]])</f>
        <v>12858</v>
      </c>
      <c r="D45" s="15">
        <f>IF(Tabla3[[#This Row],[Fecha]]&lt;53,"",IFERROR(((HOUR(Tabla3[[#This Row],[Horas]])*60+MINUTE(Tabla3[[#This Row],[Horas]]))/60)*$D$1,""))</f>
        <v>23850</v>
      </c>
      <c r="E45" s="22">
        <f>IFERROR(Tabla3[[#This Row],[Cantidad producida]]/Tabla3[[#This Row],[Cantidad teórica]],"")</f>
        <v>0.53911949685534588</v>
      </c>
      <c r="F45" s="22">
        <f>IF(Tabla3[[#This Row],[Fecha]]&lt;53,"",IFERROR(Tabla3[[#This Row],[Horas]]/$F$1,""))</f>
        <v>0.88333333333333319</v>
      </c>
      <c r="G45" s="15" t="str">
        <f>IF(Tabla3[[#This Row],[Disponibilidad]]="","",IF(Tabla3[[#This Row],[Disponibilidad]]&gt;1,"NO",""))</f>
        <v/>
      </c>
      <c r="H45" t="str">
        <f>IFERROR(IF(VLOOKUP(Tabla3[[#This Row],[Fecha]],Tabla1[[Día]:[P/LC/CF/CL]],5,FALSE)="LC","SI",""),"")</f>
        <v/>
      </c>
      <c r="I45" s="22">
        <f>IFERROR(Tabla3[[#This Row],[Disponibilidad]]*Tabla3[[#This Row],[Rendimiento]], IF(Tabla3[[#This Row],[LC]]="SI", 0, "No"))</f>
        <v>0.4762222222222221</v>
      </c>
      <c r="J45" s="16">
        <f>IF(Tabla3[[#This Row],[OEE]]="No","",WEEKNUM(Tabla3[[#This Row],[Fecha]]))</f>
        <v>11</v>
      </c>
      <c r="K45" s="27">
        <f>IFERROR(IF(Tabla3[[#This Row],[OEE]]&lt;&gt;"No",Tabla3[[#This Row],[OEE]]/Tabla3[[#This Row],[Disponibilidad]],""),0)</f>
        <v>0.53911949685534588</v>
      </c>
    </row>
    <row r="46" spans="1:11" x14ac:dyDescent="0.25">
      <c r="A46" s="2">
        <v>45727</v>
      </c>
      <c r="B46" s="5">
        <f>SUMIFS('paradas-disp'!F:F,'paradas-disp'!A:A,Tabla3[[#This Row],[Fecha]])</f>
        <v>0.10416666666666674</v>
      </c>
      <c r="C46">
        <f>SUMIFS('paradas-disp'!I:I,'paradas-disp'!A:A,Tabla3[[#This Row],[Fecha]])</f>
        <v>2040</v>
      </c>
      <c r="D46" s="15">
        <f>IF(Tabla3[[#This Row],[Fecha]]&lt;53,"",IFERROR(((HOUR(Tabla3[[#This Row],[Horas]])*60+MINUTE(Tabla3[[#This Row],[Horas]]))/60)*$D$1,""))</f>
        <v>4500</v>
      </c>
      <c r="E46" s="22">
        <f>IFERROR(Tabla3[[#This Row],[Cantidad producida]]/Tabla3[[#This Row],[Cantidad teórica]],"")</f>
        <v>0.45333333333333331</v>
      </c>
      <c r="F46" s="22">
        <f>IF(Tabla3[[#This Row],[Fecha]]&lt;53,"",IFERROR(Tabla3[[#This Row],[Horas]]/$F$1,""))</f>
        <v>0.1666666666666668</v>
      </c>
      <c r="G46" s="15" t="str">
        <f>IF(Tabla3[[#This Row],[Disponibilidad]]="","",IF(Tabla3[[#This Row],[Disponibilidad]]&gt;1,"NO",""))</f>
        <v/>
      </c>
      <c r="H46" t="str">
        <f>IFERROR(IF(VLOOKUP(Tabla3[[#This Row],[Fecha]],Tabla1[[Día]:[P/LC/CF/CL]],5,FALSE)="LC","SI",""),"")</f>
        <v/>
      </c>
      <c r="I46" s="22">
        <f>IFERROR(Tabla3[[#This Row],[Disponibilidad]]*Tabla3[[#This Row],[Rendimiento]], IF(Tabla3[[#This Row],[LC]]="SI", 0, "No"))</f>
        <v>7.5555555555555612E-2</v>
      </c>
      <c r="J46" s="16">
        <f>IF(Tabla3[[#This Row],[OEE]]="No","",WEEKNUM(Tabla3[[#This Row],[Fecha]]))</f>
        <v>11</v>
      </c>
      <c r="K46" s="27">
        <f>IFERROR(IF(Tabla3[[#This Row],[OEE]]&lt;&gt;"No",Tabla3[[#This Row],[OEE]]/Tabla3[[#This Row],[Disponibilidad]],""),0)</f>
        <v>0.45333333333333331</v>
      </c>
    </row>
    <row r="47" spans="1:11" x14ac:dyDescent="0.25">
      <c r="A47" s="2">
        <v>45728</v>
      </c>
      <c r="B47" s="5">
        <f>SUMIFS('paradas-disp'!F:F,'paradas-disp'!A:A,Tabla3[[#This Row],[Fecha]])</f>
        <v>0.13541666666666669</v>
      </c>
      <c r="C47">
        <f>SUMIFS('paradas-disp'!I:I,'paradas-disp'!A:A,Tabla3[[#This Row],[Fecha]])</f>
        <v>1196</v>
      </c>
      <c r="D47" s="15">
        <f>IF(Tabla3[[#This Row],[Fecha]]&lt;53,"",IFERROR(((HOUR(Tabla3[[#This Row],[Horas]])*60+MINUTE(Tabla3[[#This Row],[Horas]]))/60)*$D$1,""))</f>
        <v>5850</v>
      </c>
      <c r="E47" s="22">
        <f>IFERROR(Tabla3[[#This Row],[Cantidad producida]]/Tabla3[[#This Row],[Cantidad teórica]],"")</f>
        <v>0.20444444444444446</v>
      </c>
      <c r="F47" s="22">
        <f>IF(Tabla3[[#This Row],[Fecha]]&lt;53,"",IFERROR(Tabla3[[#This Row],[Horas]]/$F$1,""))</f>
        <v>0.2166666666666667</v>
      </c>
      <c r="G47" s="15" t="str">
        <f>IF(Tabla3[[#This Row],[Disponibilidad]]="","",IF(Tabla3[[#This Row],[Disponibilidad]]&gt;1,"NO",""))</f>
        <v/>
      </c>
      <c r="H47" t="str">
        <f>IFERROR(IF(VLOOKUP(Tabla3[[#This Row],[Fecha]],Tabla1[[Día]:[P/LC/CF/CL]],5,FALSE)="LC","SI",""),"")</f>
        <v/>
      </c>
      <c r="I47" s="22">
        <f>IFERROR(Tabla3[[#This Row],[Disponibilidad]]*Tabla3[[#This Row],[Rendimiento]], IF(Tabla3[[#This Row],[LC]]="SI", 0, "No"))</f>
        <v>4.4296296296296306E-2</v>
      </c>
      <c r="J47" s="16">
        <f>IF(Tabla3[[#This Row],[OEE]]="No","",WEEKNUM(Tabla3[[#This Row],[Fecha]]))</f>
        <v>11</v>
      </c>
      <c r="K47" s="27">
        <f>IFERROR(IF(Tabla3[[#This Row],[OEE]]&lt;&gt;"No",Tabla3[[#This Row],[OEE]]/Tabla3[[#This Row],[Disponibilidad]],""),0)</f>
        <v>0.20444444444444446</v>
      </c>
    </row>
    <row r="48" spans="1:11" x14ac:dyDescent="0.25">
      <c r="A48" s="2">
        <v>45729</v>
      </c>
      <c r="B48" s="5">
        <f>SUMIFS('paradas-disp'!F:F,'paradas-disp'!A:A,Tabla3[[#This Row],[Fecha]])</f>
        <v>0.30555555555555558</v>
      </c>
      <c r="C48">
        <f>SUMIFS('paradas-disp'!I:I,'paradas-disp'!A:A,Tabla3[[#This Row],[Fecha]])</f>
        <v>10182</v>
      </c>
      <c r="D48" s="15">
        <f>IF(Tabla3[[#This Row],[Fecha]]&lt;53,"",IFERROR(((HOUR(Tabla3[[#This Row],[Horas]])*60+MINUTE(Tabla3[[#This Row],[Horas]]))/60)*$D$1,""))</f>
        <v>13200</v>
      </c>
      <c r="E48" s="22">
        <f>IFERROR(Tabla3[[#This Row],[Cantidad producida]]/Tabla3[[#This Row],[Cantidad teórica]],"")</f>
        <v>0.77136363636363636</v>
      </c>
      <c r="F48" s="22">
        <f>IF(Tabla3[[#This Row],[Fecha]]&lt;53,"",IFERROR(Tabla3[[#This Row],[Horas]]/$F$1,""))</f>
        <v>0.48888888888888893</v>
      </c>
      <c r="G48" s="15" t="str">
        <f>IF(Tabla3[[#This Row],[Disponibilidad]]="","",IF(Tabla3[[#This Row],[Disponibilidad]]&gt;1,"NO",""))</f>
        <v/>
      </c>
      <c r="H48" t="str">
        <f>IFERROR(IF(VLOOKUP(Tabla3[[#This Row],[Fecha]],Tabla1[[Día]:[P/LC/CF/CL]],5,FALSE)="LC","SI",""),"")</f>
        <v/>
      </c>
      <c r="I48" s="22">
        <f>IFERROR(Tabla3[[#This Row],[Disponibilidad]]*Tabla3[[#This Row],[Rendimiento]], IF(Tabla3[[#This Row],[LC]]="SI", 0, "No"))</f>
        <v>0.37711111111111112</v>
      </c>
      <c r="J48" s="16">
        <f>IF(Tabla3[[#This Row],[OEE]]="No","",WEEKNUM(Tabla3[[#This Row],[Fecha]]))</f>
        <v>11</v>
      </c>
      <c r="K48" s="27">
        <f>IFERROR(IF(Tabla3[[#This Row],[OEE]]&lt;&gt;"No",Tabla3[[#This Row],[OEE]]/Tabla3[[#This Row],[Disponibilidad]],""),0)</f>
        <v>0.77136363636363636</v>
      </c>
    </row>
    <row r="49" spans="1:11" x14ac:dyDescent="0.25">
      <c r="A49" s="2">
        <v>45730</v>
      </c>
      <c r="B49" s="5">
        <f>SUMIFS('paradas-disp'!F:F,'paradas-disp'!A:A,Tabla3[[#This Row],[Fecha]])</f>
        <v>0</v>
      </c>
      <c r="D49" s="15">
        <f>IF(Tabla3[[#This Row],[Fecha]]&lt;53,"",IFERROR(((HOUR(Tabla3[[#This Row],[Horas]])*60+MINUTE(Tabla3[[#This Row],[Horas]]))/60)*$D$1,""))</f>
        <v>0</v>
      </c>
      <c r="E49" s="22" t="str">
        <f>IFERROR(Tabla3[[#This Row],[Cantidad producida]]/Tabla3[[#This Row],[Cantidad teórica]],"")</f>
        <v/>
      </c>
      <c r="F49" s="22">
        <f>IF(Tabla3[[#This Row],[Fecha]]&lt;53,"",IFERROR(Tabla3[[#This Row],[Horas]]/$F$1,""))</f>
        <v>0</v>
      </c>
      <c r="G49" s="15" t="str">
        <f>IF(Tabla3[[#This Row],[Disponibilidad]]="","",IF(Tabla3[[#This Row],[Disponibilidad]]&gt;1,"NO",""))</f>
        <v/>
      </c>
      <c r="H49" t="str">
        <f>IFERROR(IF(VLOOKUP(Tabla3[[#This Row],[Fecha]],Tabla1[[Día]:[P/LC/CF/CL]],5,FALSE)="LC","SI",""),"")</f>
        <v/>
      </c>
      <c r="I49" s="22" t="str">
        <f>IFERROR(Tabla3[[#This Row],[Disponibilidad]]*Tabla3[[#This Row],[Rendimiento]], IF(Tabla3[[#This Row],[LC]]="SI", 0, "No"))</f>
        <v>No</v>
      </c>
      <c r="J49" s="16" t="str">
        <f>IF(Tabla3[[#This Row],[OEE]]="No","",WEEKNUM(Tabla3[[#This Row],[Fecha]]))</f>
        <v/>
      </c>
      <c r="K49" s="27" t="str">
        <f>IFERROR(IF(Tabla3[[#This Row],[OEE]]&lt;&gt;"No",Tabla3[[#This Row],[OEE]]/Tabla3[[#This Row],[Disponibilidad]],""),0)</f>
        <v/>
      </c>
    </row>
    <row r="50" spans="1:11" x14ac:dyDescent="0.25">
      <c r="A50" s="2">
        <v>45731</v>
      </c>
      <c r="B50" s="5">
        <f>SUMIFS('paradas-disp'!F:F,'paradas-disp'!A:A,Tabla3[[#This Row],[Fecha]])</f>
        <v>0</v>
      </c>
      <c r="D50" s="15">
        <f>IF(Tabla3[[#This Row],[Fecha]]&lt;53,"",IFERROR(((HOUR(Tabla3[[#This Row],[Horas]])*60+MINUTE(Tabla3[[#This Row],[Horas]]))/60)*$D$1,""))</f>
        <v>0</v>
      </c>
      <c r="E50" s="22" t="str">
        <f>IFERROR(Tabla3[[#This Row],[Cantidad producida]]/Tabla3[[#This Row],[Cantidad teórica]],"")</f>
        <v/>
      </c>
      <c r="F50" s="22">
        <f>IF(Tabla3[[#This Row],[Fecha]]&lt;53,"",IFERROR(Tabla3[[#This Row],[Horas]]/$F$1,""))</f>
        <v>0</v>
      </c>
      <c r="G50" s="15" t="str">
        <f>IF(Tabla3[[#This Row],[Disponibilidad]]="","",IF(Tabla3[[#This Row],[Disponibilidad]]&gt;1,"NO",""))</f>
        <v/>
      </c>
      <c r="H50" t="str">
        <f>IFERROR(IF(VLOOKUP(Tabla3[[#This Row],[Fecha]],Tabla1[[Día]:[P/LC/CF/CL]],5,FALSE)="LC","SI",""),"")</f>
        <v/>
      </c>
      <c r="I50" s="22" t="str">
        <f>IFERROR(Tabla3[[#This Row],[Disponibilidad]]*Tabla3[[#This Row],[Rendimiento]], IF(Tabla3[[#This Row],[LC]]="SI", 0, "No"))</f>
        <v>No</v>
      </c>
      <c r="J50" s="16" t="str">
        <f>IF(Tabla3[[#This Row],[OEE]]="No","",WEEKNUM(Tabla3[[#This Row],[Fecha]]))</f>
        <v/>
      </c>
      <c r="K50" s="27" t="str">
        <f>IFERROR(IF(Tabla3[[#This Row],[OEE]]&lt;&gt;"No",Tabla3[[#This Row],[OEE]]/Tabla3[[#This Row],[Disponibilidad]],""),0)</f>
        <v/>
      </c>
    </row>
    <row r="51" spans="1:11" x14ac:dyDescent="0.25">
      <c r="A51" s="2">
        <v>45732</v>
      </c>
      <c r="B51" s="5">
        <f>SUMIFS('paradas-disp'!F:F,'paradas-disp'!A:A,Tabla3[[#This Row],[Fecha]])</f>
        <v>0</v>
      </c>
      <c r="D51" s="15">
        <f>IF(Tabla3[[#This Row],[Fecha]]&lt;53,"",IFERROR(((HOUR(Tabla3[[#This Row],[Horas]])*60+MINUTE(Tabla3[[#This Row],[Horas]]))/60)*$D$1,""))</f>
        <v>0</v>
      </c>
      <c r="E51" s="22" t="str">
        <f>IFERROR(Tabla3[[#This Row],[Cantidad producida]]/Tabla3[[#This Row],[Cantidad teórica]],"")</f>
        <v/>
      </c>
      <c r="F51" s="22">
        <f>IF(Tabla3[[#This Row],[Fecha]]&lt;53,"",IFERROR(Tabla3[[#This Row],[Horas]]/$F$1,""))</f>
        <v>0</v>
      </c>
      <c r="G51" s="15" t="str">
        <f>IF(Tabla3[[#This Row],[Disponibilidad]]="","",IF(Tabla3[[#This Row],[Disponibilidad]]&gt;1,"NO",""))</f>
        <v/>
      </c>
      <c r="H51" t="str">
        <f>IFERROR(IF(VLOOKUP(Tabla3[[#This Row],[Fecha]],Tabla1[[Día]:[P/LC/CF/CL]],5,FALSE)="LC","SI",""),"")</f>
        <v/>
      </c>
      <c r="I51" s="22" t="str">
        <f>IFERROR(Tabla3[[#This Row],[Disponibilidad]]*Tabla3[[#This Row],[Rendimiento]], IF(Tabla3[[#This Row],[LC]]="SI", 0, "No"))</f>
        <v>No</v>
      </c>
      <c r="J51" s="16" t="str">
        <f>IF(Tabla3[[#This Row],[OEE]]="No","",WEEKNUM(Tabla3[[#This Row],[Fecha]]))</f>
        <v/>
      </c>
      <c r="K51" s="27" t="str">
        <f>IFERROR(IF(Tabla3[[#This Row],[OEE]]&lt;&gt;"No",Tabla3[[#This Row],[OEE]]/Tabla3[[#This Row],[Disponibilidad]],""),0)</f>
        <v/>
      </c>
    </row>
    <row r="52" spans="1:11" x14ac:dyDescent="0.25">
      <c r="A52" s="2">
        <v>45733</v>
      </c>
      <c r="B52" s="5">
        <f>SUMIFS('paradas-disp'!F:F,'paradas-disp'!A:A,Tabla3[[#This Row],[Fecha]])</f>
        <v>0.60763888888888884</v>
      </c>
      <c r="C52">
        <v>20882</v>
      </c>
      <c r="D52" s="15">
        <f>IF(Tabla3[[#This Row],[Fecha]]&lt;53,"",IFERROR(((HOUR(Tabla3[[#This Row],[Horas]])*60+MINUTE(Tabla3[[#This Row],[Horas]]))/60)*$D$1,""))</f>
        <v>26250</v>
      </c>
      <c r="E52" s="21">
        <f>IFERROR(Tabla3[[#This Row],[Cantidad producida]]/Tabla3[[#This Row],[Cantidad teórica]],"")</f>
        <v>0.79550476190476194</v>
      </c>
      <c r="F52" s="21">
        <f>IF(Tabla3[[#This Row],[Fecha]]&lt;53,"",IFERROR(Tabla3[[#This Row],[Horas]]/$F$1,""))</f>
        <v>0.9722222222222221</v>
      </c>
      <c r="G52" s="15" t="str">
        <f>IF(Tabla3[[#This Row],[Disponibilidad]]="","",IF(Tabla3[[#This Row],[Disponibilidad]]&gt;1,"NO",""))</f>
        <v/>
      </c>
      <c r="H52" t="str">
        <f>IFERROR(IF(VLOOKUP(Tabla3[[#This Row],[Fecha]],Tabla1[[Día]:[P/LC/CF/CL]],5,FALSE)="LC","SI",""),"")</f>
        <v/>
      </c>
      <c r="I52" s="22">
        <f>IFERROR(Tabla3[[#This Row],[Disponibilidad]]*Tabla3[[#This Row],[Rendimiento]], IF(Tabla3[[#This Row],[LC]]="SI", 0, "No"))</f>
        <v>0.77340740740740732</v>
      </c>
      <c r="J52" s="16">
        <f>IF(Tabla3[[#This Row],[OEE]]="No","",WEEKNUM(Tabla3[[#This Row],[Fecha]]))</f>
        <v>12</v>
      </c>
      <c r="K52" s="27">
        <f>IFERROR(IF(Tabla3[[#This Row],[OEE]]&lt;&gt;"No",Tabla3[[#This Row],[OEE]]/Tabla3[[#This Row],[Disponibilidad]],""),0)</f>
        <v>0.79550476190476194</v>
      </c>
    </row>
    <row r="53" spans="1:11" x14ac:dyDescent="0.25">
      <c r="A53" s="2">
        <v>45734</v>
      </c>
      <c r="B53" s="5">
        <f>SUMIFS('paradas-disp'!F:F,'paradas-disp'!A:A,Tabla3[[#This Row],[Fecha]])</f>
        <v>0.58333333333333326</v>
      </c>
      <c r="C53">
        <v>17826</v>
      </c>
      <c r="D53" s="15">
        <f>IF(Tabla3[[#This Row],[Fecha]]&lt;53,"",IFERROR(((HOUR(Tabla3[[#This Row],[Horas]])*60+MINUTE(Tabla3[[#This Row],[Horas]]))/60)*$D$1,""))</f>
        <v>25200</v>
      </c>
      <c r="E53" s="22">
        <f>IFERROR(Tabla3[[#This Row],[Cantidad producida]]/Tabla3[[#This Row],[Cantidad teórica]],"")</f>
        <v>0.70738095238095233</v>
      </c>
      <c r="F53" s="22">
        <f>IF(Tabla3[[#This Row],[Fecha]]&lt;53,"",IFERROR(Tabla3[[#This Row],[Horas]]/$F$1,""))</f>
        <v>0.93333333333333324</v>
      </c>
      <c r="G53" s="15" t="str">
        <f>IF(Tabla3[[#This Row],[Disponibilidad]]="","",IF(Tabla3[[#This Row],[Disponibilidad]]&gt;1,"NO",""))</f>
        <v/>
      </c>
      <c r="H53" t="str">
        <f>IFERROR(IF(VLOOKUP(Tabla3[[#This Row],[Fecha]],Tabla1[[Día]:[P/LC/CF/CL]],5,FALSE)="LC","SI",""),"")</f>
        <v/>
      </c>
      <c r="I53" s="22">
        <f>IFERROR(Tabla3[[#This Row],[Disponibilidad]]*Tabla3[[#This Row],[Rendimiento]], IF(Tabla3[[#This Row],[LC]]="SI", 0, "No"))</f>
        <v>0.66022222222222215</v>
      </c>
      <c r="J53" s="16">
        <f>IF(Tabla3[[#This Row],[OEE]]="No","",WEEKNUM(Tabla3[[#This Row],[Fecha]]))</f>
        <v>12</v>
      </c>
      <c r="K53" s="27">
        <f>IFERROR(IF(Tabla3[[#This Row],[OEE]]&lt;&gt;"No",Tabla3[[#This Row],[OEE]]/Tabla3[[#This Row],[Disponibilidad]],""),0)</f>
        <v>0.70738095238095233</v>
      </c>
    </row>
    <row r="54" spans="1:11" x14ac:dyDescent="0.25">
      <c r="A54" s="2">
        <v>45735</v>
      </c>
      <c r="B54" s="5">
        <f>SUMIFS('paradas-disp'!F:F,'paradas-disp'!A:A,Tabla3[[#This Row],[Fecha]])</f>
        <v>0.60763888888888884</v>
      </c>
      <c r="C54">
        <v>19146</v>
      </c>
      <c r="D54" s="15">
        <f>IF(Tabla3[[#This Row],[Fecha]]&lt;53,"",IFERROR(((HOUR(Tabla3[[#This Row],[Horas]])*60+MINUTE(Tabla3[[#This Row],[Horas]]))/60)*$D$1,""))</f>
        <v>26250</v>
      </c>
      <c r="E54" s="22">
        <f>IFERROR(Tabla3[[#This Row],[Cantidad producida]]/Tabla3[[#This Row],[Cantidad teórica]],"")</f>
        <v>0.72937142857142856</v>
      </c>
      <c r="F54" s="22">
        <f>IF(Tabla3[[#This Row],[Fecha]]&lt;53,"",IFERROR(Tabla3[[#This Row],[Horas]]/$F$1,""))</f>
        <v>0.9722222222222221</v>
      </c>
      <c r="G54" s="15" t="str">
        <f>IF(Tabla3[[#This Row],[Disponibilidad]]="","",IF(Tabla3[[#This Row],[Disponibilidad]]&gt;1,"NO",""))</f>
        <v/>
      </c>
      <c r="H54" t="str">
        <f>IFERROR(IF(VLOOKUP(Tabla3[[#This Row],[Fecha]],Tabla1[[Día]:[P/LC/CF/CL]],5,FALSE)="LC","SI",""),"")</f>
        <v/>
      </c>
      <c r="I54" s="22">
        <f>IFERROR(Tabla3[[#This Row],[Disponibilidad]]*Tabla3[[#This Row],[Rendimiento]], IF(Tabla3[[#This Row],[LC]]="SI", 0, "No"))</f>
        <v>0.70911111111111103</v>
      </c>
      <c r="J54" s="16">
        <f>IF(Tabla3[[#This Row],[OEE]]="No","",WEEKNUM(Tabla3[[#This Row],[Fecha]]))</f>
        <v>12</v>
      </c>
      <c r="K54" s="27">
        <f>IFERROR(IF(Tabla3[[#This Row],[OEE]]&lt;&gt;"No",Tabla3[[#This Row],[OEE]]/Tabla3[[#This Row],[Disponibilidad]],""),0)</f>
        <v>0.72937142857142856</v>
      </c>
    </row>
    <row r="55" spans="1:11" x14ac:dyDescent="0.25">
      <c r="A55" s="2">
        <v>45736</v>
      </c>
      <c r="B55" s="5">
        <f>SUMIFS('paradas-disp'!F:F,'paradas-disp'!A:A,Tabla3[[#This Row],[Fecha]])</f>
        <v>0.52986111111111112</v>
      </c>
      <c r="C55">
        <v>17756</v>
      </c>
      <c r="D55" s="15">
        <f>IF(Tabla3[[#This Row],[Fecha]]&lt;53,"",IFERROR(((HOUR(Tabla3[[#This Row],[Horas]])*60+MINUTE(Tabla3[[#This Row],[Horas]]))/60)*$D$1,""))</f>
        <v>22890</v>
      </c>
      <c r="E55" s="22">
        <f>IFERROR(Tabla3[[#This Row],[Cantidad producida]]/Tabla3[[#This Row],[Cantidad teórica]],"")</f>
        <v>0.77570991699432068</v>
      </c>
      <c r="F55" s="22">
        <f>IF(Tabla3[[#This Row],[Fecha]]&lt;53,"",IFERROR(Tabla3[[#This Row],[Horas]]/$F$1,""))</f>
        <v>0.84777777777777774</v>
      </c>
      <c r="G55" s="15" t="str">
        <f>IF(Tabla3[[#This Row],[Disponibilidad]]="","",IF(Tabla3[[#This Row],[Disponibilidad]]&gt;1,"NO",""))</f>
        <v/>
      </c>
      <c r="H55" t="str">
        <f>IFERROR(IF(VLOOKUP(Tabla3[[#This Row],[Fecha]],Tabla1[[Día]:[P/LC/CF/CL]],5,FALSE)="LC","SI",""),"")</f>
        <v/>
      </c>
      <c r="I55" s="22">
        <f>IFERROR(Tabla3[[#This Row],[Disponibilidad]]*Tabla3[[#This Row],[Rendimiento]], IF(Tabla3[[#This Row],[LC]]="SI", 0, "No"))</f>
        <v>0.65762962962962956</v>
      </c>
      <c r="J55" s="16">
        <f>IF(Tabla3[[#This Row],[OEE]]="No","",WEEKNUM(Tabla3[[#This Row],[Fecha]]))</f>
        <v>12</v>
      </c>
      <c r="K55" s="27">
        <f>IFERROR(IF(Tabla3[[#This Row],[OEE]]&lt;&gt;"No",Tabla3[[#This Row],[OEE]]/Tabla3[[#This Row],[Disponibilidad]],""),0)</f>
        <v>0.77570991699432057</v>
      </c>
    </row>
    <row r="56" spans="1:11" x14ac:dyDescent="0.25">
      <c r="A56" s="2">
        <v>45737</v>
      </c>
      <c r="B56" s="5">
        <f>SUMIFS('paradas-disp'!F:F,'paradas-disp'!A:A,Tabla3[[#This Row],[Fecha]])</f>
        <v>9.375E-2</v>
      </c>
      <c r="D56" s="15">
        <f>IF(Tabla3[[#This Row],[Fecha]]&lt;53,"",IFERROR(((HOUR(Tabla3[[#This Row],[Horas]])*60+MINUTE(Tabla3[[#This Row],[Horas]]))/60)*$D$1,""))</f>
        <v>4050</v>
      </c>
      <c r="E56" s="22">
        <f>IFERROR(Tabla3[[#This Row],[Cantidad producida]]/Tabla3[[#This Row],[Cantidad teórica]],"")</f>
        <v>0</v>
      </c>
      <c r="F56" s="22">
        <f>IF(Tabla3[[#This Row],[Fecha]]&lt;53,"",IFERROR(Tabla3[[#This Row],[Horas]]/$F$1,""))</f>
        <v>0.15</v>
      </c>
      <c r="G56" s="15" t="str">
        <f>IF(Tabla3[[#This Row],[Disponibilidad]]="","",IF(Tabla3[[#This Row],[Disponibilidad]]&gt;1,"NO",""))</f>
        <v/>
      </c>
      <c r="H56" t="str">
        <f>IFERROR(IF(VLOOKUP(Tabla3[[#This Row],[Fecha]],Tabla1[[Día]:[P/LC/CF/CL]],5,FALSE)="LC","SI",""),"")</f>
        <v>SI</v>
      </c>
      <c r="I56" s="22">
        <f>IFERROR(Tabla3[[#This Row],[Disponibilidad]]*Tabla3[[#This Row],[Rendimiento]], IF(Tabla3[[#This Row],[LC]]="SI", 0, "No"))</f>
        <v>0</v>
      </c>
      <c r="J56" s="16">
        <f>IF(Tabla3[[#This Row],[OEE]]="No","",WEEKNUM(Tabla3[[#This Row],[Fecha]]))</f>
        <v>12</v>
      </c>
      <c r="K56" s="27">
        <f>IFERROR(IF(Tabla3[[#This Row],[OEE]]&lt;&gt;"No",Tabla3[[#This Row],[OEE]]/Tabla3[[#This Row],[Disponibilidad]],""),0)</f>
        <v>0</v>
      </c>
    </row>
    <row r="57" spans="1:11" x14ac:dyDescent="0.25">
      <c r="A57" s="2">
        <v>45738</v>
      </c>
      <c r="B57" s="5">
        <f>SUMIFS('paradas-disp'!F:F,'paradas-disp'!A:A,Tabla3[[#This Row],[Fecha]])</f>
        <v>0</v>
      </c>
      <c r="D57" s="15">
        <f>IF(Tabla3[[#This Row],[Fecha]]&lt;53,"",IFERROR(((HOUR(Tabla3[[#This Row],[Horas]])*60+MINUTE(Tabla3[[#This Row],[Horas]]))/60)*$D$1,""))</f>
        <v>0</v>
      </c>
      <c r="E57" s="22" t="str">
        <f>IFERROR(Tabla3[[#This Row],[Cantidad producida]]/Tabla3[[#This Row],[Cantidad teórica]],"")</f>
        <v/>
      </c>
      <c r="F57" s="22">
        <f>IF(Tabla3[[#This Row],[Fecha]]&lt;53,"",IFERROR(Tabla3[[#This Row],[Horas]]/$F$1,""))</f>
        <v>0</v>
      </c>
      <c r="G57" s="15" t="str">
        <f>IF(Tabla3[[#This Row],[Disponibilidad]]="","",IF(Tabla3[[#This Row],[Disponibilidad]]&gt;1,"NO",""))</f>
        <v/>
      </c>
      <c r="H57" t="str">
        <f>IFERROR(IF(VLOOKUP(Tabla3[[#This Row],[Fecha]],Tabla1[[Día]:[P/LC/CF/CL]],5,FALSE)="LC","SI",""),"")</f>
        <v/>
      </c>
      <c r="I57" s="22" t="str">
        <f>IFERROR(Tabla3[[#This Row],[Disponibilidad]]*Tabla3[[#This Row],[Rendimiento]], IF(Tabla3[[#This Row],[LC]]="SI", 0, "No"))</f>
        <v>No</v>
      </c>
      <c r="J57" s="16" t="str">
        <f>IF(Tabla3[[#This Row],[OEE]]="No","",WEEKNUM(Tabla3[[#This Row],[Fecha]]))</f>
        <v/>
      </c>
      <c r="K57" s="27" t="str">
        <f>IFERROR(IF(Tabla3[[#This Row],[OEE]]&lt;&gt;"No",Tabla3[[#This Row],[OEE]]/Tabla3[[#This Row],[Disponibilidad]],""),0)</f>
        <v/>
      </c>
    </row>
    <row r="58" spans="1:11" x14ac:dyDescent="0.25">
      <c r="A58" s="2">
        <v>45739</v>
      </c>
      <c r="B58" s="5">
        <f>SUMIFS('paradas-disp'!F:F,'paradas-disp'!A:A,Tabla3[[#This Row],[Fecha]])</f>
        <v>0</v>
      </c>
      <c r="D58" s="15">
        <f>IF(Tabla3[[#This Row],[Fecha]]&lt;53,"",IFERROR(((HOUR(Tabla3[[#This Row],[Horas]])*60+MINUTE(Tabla3[[#This Row],[Horas]]))/60)*$D$1,""))</f>
        <v>0</v>
      </c>
      <c r="E58" s="22" t="str">
        <f>IFERROR(Tabla3[[#This Row],[Cantidad producida]]/Tabla3[[#This Row],[Cantidad teórica]],"")</f>
        <v/>
      </c>
      <c r="F58" s="22">
        <f>IF(Tabla3[[#This Row],[Fecha]]&lt;53,"",IFERROR(Tabla3[[#This Row],[Horas]]/$F$1,""))</f>
        <v>0</v>
      </c>
      <c r="G58" s="15" t="str">
        <f>IF(Tabla3[[#This Row],[Disponibilidad]]="","",IF(Tabla3[[#This Row],[Disponibilidad]]&gt;1,"NO",""))</f>
        <v/>
      </c>
      <c r="H58" t="str">
        <f>IFERROR(IF(VLOOKUP(Tabla3[[#This Row],[Fecha]],Tabla1[[Día]:[P/LC/CF/CL]],5,FALSE)="LC","SI",""),"")</f>
        <v/>
      </c>
      <c r="I58" s="22" t="str">
        <f>IFERROR(Tabla3[[#This Row],[Disponibilidad]]*Tabla3[[#This Row],[Rendimiento]], IF(Tabla3[[#This Row],[LC]]="SI", 0, "No"))</f>
        <v>No</v>
      </c>
      <c r="J58" s="16" t="str">
        <f>IF(Tabla3[[#This Row],[OEE]]="No","",WEEKNUM(Tabla3[[#This Row],[Fecha]]))</f>
        <v/>
      </c>
      <c r="K58" s="27" t="str">
        <f>IFERROR(IF(Tabla3[[#This Row],[OEE]]&lt;&gt;"No",Tabla3[[#This Row],[OEE]]/Tabla3[[#This Row],[Disponibilidad]],""),0)</f>
        <v/>
      </c>
    </row>
    <row r="59" spans="1:11" x14ac:dyDescent="0.25">
      <c r="A59" s="2">
        <v>45740</v>
      </c>
      <c r="B59" s="5">
        <f>SUMIFS('paradas-disp'!F:F,'paradas-disp'!A:A,Tabla3[[#This Row],[Fecha]])</f>
        <v>0.3888888888888889</v>
      </c>
      <c r="C59">
        <v>9504</v>
      </c>
      <c r="D59" s="15">
        <f>IF(Tabla3[[#This Row],[Fecha]]&lt;53,"",IFERROR(((HOUR(Tabla3[[#This Row],[Horas]])*60+MINUTE(Tabla3[[#This Row],[Horas]]))/60)*$D$1,""))</f>
        <v>16800</v>
      </c>
      <c r="E59" s="22">
        <f>IFERROR(Tabla3[[#This Row],[Cantidad producida]]/Tabla3[[#This Row],[Cantidad teórica]],"")</f>
        <v>0.56571428571428573</v>
      </c>
      <c r="F59" s="22">
        <f>IF(Tabla3[[#This Row],[Fecha]]&lt;53,"",IFERROR(Tabla3[[#This Row],[Horas]]/$F$1,""))</f>
        <v>0.62222222222222223</v>
      </c>
      <c r="G59" s="15" t="str">
        <f>IF(Tabla3[[#This Row],[Disponibilidad]]="","",IF(Tabla3[[#This Row],[Disponibilidad]]&gt;1,"NO",""))</f>
        <v/>
      </c>
      <c r="H59" t="str">
        <f>IFERROR(IF(VLOOKUP(Tabla3[[#This Row],[Fecha]],Tabla1[[Día]:[P/LC/CF/CL]],5,FALSE)="LC","SI",""),"")</f>
        <v/>
      </c>
      <c r="I59" s="22">
        <f>IFERROR(Tabla3[[#This Row],[Disponibilidad]]*Tabla3[[#This Row],[Rendimiento]], IF(Tabla3[[#This Row],[LC]]="SI", 0, "No"))</f>
        <v>0.35200000000000004</v>
      </c>
      <c r="J59" s="16">
        <f>IF(Tabla3[[#This Row],[OEE]]="No","",WEEKNUM(Tabla3[[#This Row],[Fecha]]))</f>
        <v>13</v>
      </c>
      <c r="K59" s="27">
        <f>IFERROR(IF(Tabla3[[#This Row],[OEE]]&lt;&gt;"No",Tabla3[[#This Row],[OEE]]/Tabla3[[#This Row],[Disponibilidad]],""),0)</f>
        <v>0.56571428571428573</v>
      </c>
    </row>
    <row r="60" spans="1:11" x14ac:dyDescent="0.25">
      <c r="A60" s="2">
        <v>45741</v>
      </c>
      <c r="B60" s="5">
        <f>SUMIFS('paradas-disp'!F:F,'paradas-disp'!A:A,Tabla3[[#This Row],[Fecha]])</f>
        <v>0.2361111111111111</v>
      </c>
      <c r="C60">
        <v>4840</v>
      </c>
      <c r="D60" s="15">
        <f>IF(Tabla3[[#This Row],[Fecha]]&lt;53,"",IFERROR(((HOUR(Tabla3[[#This Row],[Horas]])*60+MINUTE(Tabla3[[#This Row],[Horas]]))/60)*$D$1,""))</f>
        <v>10200</v>
      </c>
      <c r="E60" s="22">
        <f>IFERROR(Tabla3[[#This Row],[Cantidad producida]]/Tabla3[[#This Row],[Cantidad teórica]],"")</f>
        <v>0.47450980392156861</v>
      </c>
      <c r="F60" s="22">
        <f>IF(Tabla3[[#This Row],[Fecha]]&lt;53,"",IFERROR(Tabla3[[#This Row],[Horas]]/$F$1,""))</f>
        <v>0.37777777777777777</v>
      </c>
      <c r="G60" s="15" t="str">
        <f>IF(Tabla3[[#This Row],[Disponibilidad]]="","",IF(Tabla3[[#This Row],[Disponibilidad]]&gt;1,"NO",""))</f>
        <v/>
      </c>
      <c r="H60" t="str">
        <f>IFERROR(IF(VLOOKUP(Tabla3[[#This Row],[Fecha]],Tabla1[[Día]:[P/LC/CF/CL]],5,FALSE)="LC","SI",""),"")</f>
        <v>SI</v>
      </c>
      <c r="I60" s="22">
        <f>IFERROR(Tabla3[[#This Row],[Disponibilidad]]*Tabla3[[#This Row],[Rendimiento]], IF(Tabla3[[#This Row],[LC]]="SI", 0, "No"))</f>
        <v>0.17925925925925926</v>
      </c>
      <c r="J60" s="16">
        <f>IF(Tabla3[[#This Row],[OEE]]="No","",WEEKNUM(Tabla3[[#This Row],[Fecha]]))</f>
        <v>13</v>
      </c>
      <c r="K60" s="27">
        <f>IFERROR(IF(Tabla3[[#This Row],[OEE]]&lt;&gt;"No",Tabla3[[#This Row],[OEE]]/Tabla3[[#This Row],[Disponibilidad]],""),0)</f>
        <v>0.47450980392156861</v>
      </c>
    </row>
    <row r="61" spans="1:11" x14ac:dyDescent="0.25">
      <c r="A61" s="2">
        <v>45742</v>
      </c>
      <c r="B61" s="5">
        <f>SUMIFS('paradas-disp'!F:F,'paradas-disp'!A:A,Tabla3[[#This Row],[Fecha]])</f>
        <v>0.46875</v>
      </c>
      <c r="C61">
        <v>11156</v>
      </c>
      <c r="D61" s="15">
        <f>IF(Tabla3[[#This Row],[Fecha]]&lt;53,"",IFERROR(((HOUR(Tabla3[[#This Row],[Horas]])*60+MINUTE(Tabla3[[#This Row],[Horas]]))/60)*$D$1,""))</f>
        <v>20250</v>
      </c>
      <c r="E61" s="22">
        <f>IFERROR(Tabla3[[#This Row],[Cantidad producida]]/Tabla3[[#This Row],[Cantidad teórica]],"")</f>
        <v>0.55091358024691361</v>
      </c>
      <c r="F61" s="22">
        <f>IF(Tabla3[[#This Row],[Fecha]]&lt;53,"",IFERROR(Tabla3[[#This Row],[Horas]]/$F$1,""))</f>
        <v>0.75</v>
      </c>
      <c r="G61" s="15" t="str">
        <f>IF(Tabla3[[#This Row],[Disponibilidad]]="","",IF(Tabla3[[#This Row],[Disponibilidad]]&gt;1,"NO",""))</f>
        <v/>
      </c>
      <c r="H61" t="str">
        <f>IFERROR(IF(VLOOKUP(Tabla3[[#This Row],[Fecha]],Tabla1[[Día]:[P/LC/CF/CL]],5,FALSE)="LC","SI",""),"")</f>
        <v/>
      </c>
      <c r="I61" s="22">
        <f>IFERROR(Tabla3[[#This Row],[Disponibilidad]]*Tabla3[[#This Row],[Rendimiento]], IF(Tabla3[[#This Row],[LC]]="SI", 0, "No"))</f>
        <v>0.41318518518518521</v>
      </c>
      <c r="J61" s="16">
        <f>IF(Tabla3[[#This Row],[OEE]]="No","",WEEKNUM(Tabla3[[#This Row],[Fecha]]))</f>
        <v>13</v>
      </c>
      <c r="K61" s="27">
        <f>IFERROR(IF(Tabla3[[#This Row],[OEE]]&lt;&gt;"No",Tabla3[[#This Row],[OEE]]/Tabla3[[#This Row],[Disponibilidad]],""),0)</f>
        <v>0.55091358024691361</v>
      </c>
    </row>
    <row r="62" spans="1:11" x14ac:dyDescent="0.25">
      <c r="A62" s="2">
        <v>45743</v>
      </c>
      <c r="B62" s="5">
        <f>SUMIFS('paradas-disp'!F:F,'paradas-disp'!A:A,Tabla3[[#This Row],[Fecha]])</f>
        <v>0.59375</v>
      </c>
      <c r="C62">
        <v>21769</v>
      </c>
      <c r="D62" s="15">
        <f>IF(Tabla3[[#This Row],[Fecha]]&lt;53,"",IFERROR(((HOUR(Tabla3[[#This Row],[Horas]])*60+MINUTE(Tabla3[[#This Row],[Horas]]))/60)*$D$1,""))</f>
        <v>25650</v>
      </c>
      <c r="E62" s="22">
        <f>IFERROR(Tabla3[[#This Row],[Cantidad producida]]/Tabla3[[#This Row],[Cantidad teórica]],"")</f>
        <v>0.84869395711500972</v>
      </c>
      <c r="F62" s="22">
        <f>IF(Tabla3[[#This Row],[Fecha]]&lt;53,"",IFERROR(Tabla3[[#This Row],[Horas]]/$F$1,""))</f>
        <v>0.95</v>
      </c>
      <c r="G62" s="15" t="str">
        <f>IF(Tabla3[[#This Row],[Disponibilidad]]="","",IF(Tabla3[[#This Row],[Disponibilidad]]&gt;1,"NO",""))</f>
        <v/>
      </c>
      <c r="H62" t="str">
        <f>IFERROR(IF(VLOOKUP(Tabla3[[#This Row],[Fecha]],Tabla1[[Día]:[P/LC/CF/CL]],5,FALSE)="LC","SI",""),"")</f>
        <v/>
      </c>
      <c r="I62" s="22">
        <f>IFERROR(Tabla3[[#This Row],[Disponibilidad]]*Tabla3[[#This Row],[Rendimiento]], IF(Tabla3[[#This Row],[LC]]="SI", 0, "No"))</f>
        <v>0.80625925925925923</v>
      </c>
      <c r="J62" s="16">
        <f>IF(Tabla3[[#This Row],[OEE]]="No","",WEEKNUM(Tabla3[[#This Row],[Fecha]]))</f>
        <v>13</v>
      </c>
      <c r="K62" s="27">
        <f>IFERROR(IF(Tabla3[[#This Row],[OEE]]&lt;&gt;"No",Tabla3[[#This Row],[OEE]]/Tabla3[[#This Row],[Disponibilidad]],""),0)</f>
        <v>0.84869395711500972</v>
      </c>
    </row>
    <row r="63" spans="1:11" x14ac:dyDescent="0.25">
      <c r="A63" s="2">
        <v>45744</v>
      </c>
      <c r="B63" s="5">
        <f>SUMIFS('paradas-disp'!F:F,'paradas-disp'!A:A,Tabla3[[#This Row],[Fecha]])</f>
        <v>2.4305555555555525E-2</v>
      </c>
      <c r="C63">
        <v>1434</v>
      </c>
      <c r="D63" s="15">
        <f>IF(Tabla3[[#This Row],[Fecha]]&lt;53,"",IFERROR(((HOUR(Tabla3[[#This Row],[Horas]])*60+MINUTE(Tabla3[[#This Row],[Horas]]))/60)*$D$1,""))</f>
        <v>1050</v>
      </c>
      <c r="E63" s="22">
        <f>IFERROR(Tabla3[[#This Row],[Cantidad producida]]/Tabla3[[#This Row],[Cantidad teórica]],"")</f>
        <v>1.3657142857142857</v>
      </c>
      <c r="F63" s="22">
        <f>IF(Tabla3[[#This Row],[Fecha]]&lt;53,"",IFERROR(Tabla3[[#This Row],[Horas]]/$F$1,""))</f>
        <v>3.8888888888888841E-2</v>
      </c>
      <c r="G63" s="15" t="str">
        <f>IF(Tabla3[[#This Row],[Disponibilidad]]="","",IF(Tabla3[[#This Row],[Disponibilidad]]&gt;1,"NO",""))</f>
        <v/>
      </c>
      <c r="H63" t="str">
        <f>IFERROR(IF(VLOOKUP(Tabla3[[#This Row],[Fecha]],Tabla1[[Día]:[P/LC/CF/CL]],5,FALSE)="LC","SI",""),"")</f>
        <v/>
      </c>
      <c r="I63" s="22">
        <f>IFERROR(Tabla3[[#This Row],[Disponibilidad]]*Tabla3[[#This Row],[Rendimiento]], IF(Tabla3[[#This Row],[LC]]="SI", 0, "No"))</f>
        <v>5.3111111111111046E-2</v>
      </c>
      <c r="J63" s="16">
        <f>IF(Tabla3[[#This Row],[OEE]]="No","",WEEKNUM(Tabla3[[#This Row],[Fecha]]))</f>
        <v>13</v>
      </c>
      <c r="K63" s="27">
        <f>IFERROR(IF(Tabla3[[#This Row],[OEE]]&lt;&gt;"No",Tabla3[[#This Row],[OEE]]/Tabla3[[#This Row],[Disponibilidad]],""),0)</f>
        <v>1.3657142857142857</v>
      </c>
    </row>
    <row r="64" spans="1:11" x14ac:dyDescent="0.25">
      <c r="A64" s="2">
        <v>45745</v>
      </c>
      <c r="B64" s="5">
        <f>SUMIFS('paradas-disp'!F:F,'paradas-disp'!A:A,Tabla3[[#This Row],[Fecha]])</f>
        <v>0</v>
      </c>
      <c r="D64" s="15">
        <f>IF(Tabla3[[#This Row],[Fecha]]&lt;53,"",IFERROR(((HOUR(Tabla3[[#This Row],[Horas]])*60+MINUTE(Tabla3[[#This Row],[Horas]]))/60)*$D$1,""))</f>
        <v>0</v>
      </c>
      <c r="E64" s="22" t="str">
        <f>IFERROR(Tabla3[[#This Row],[Cantidad producida]]/Tabla3[[#This Row],[Cantidad teórica]],"")</f>
        <v/>
      </c>
      <c r="F64" s="22">
        <f>IF(Tabla3[[#This Row],[Fecha]]&lt;53,"",IFERROR(Tabla3[[#This Row],[Horas]]/$F$1,""))</f>
        <v>0</v>
      </c>
      <c r="G64" s="15" t="str">
        <f>IF(Tabla3[[#This Row],[Disponibilidad]]="","",IF(Tabla3[[#This Row],[Disponibilidad]]&gt;1,"NO",""))</f>
        <v/>
      </c>
      <c r="H64" t="str">
        <f>IFERROR(IF(VLOOKUP(Tabla3[[#This Row],[Fecha]],Tabla1[[Día]:[P/LC/CF/CL]],5,FALSE)="LC","SI",""),"")</f>
        <v/>
      </c>
      <c r="I64" s="22" t="str">
        <f>IFERROR(Tabla3[[#This Row],[Disponibilidad]]*Tabla3[[#This Row],[Rendimiento]], IF(Tabla3[[#This Row],[LC]]="SI", 0, "No"))</f>
        <v>No</v>
      </c>
      <c r="J64" s="16" t="str">
        <f>IF(Tabla3[[#This Row],[OEE]]="No","",WEEKNUM(Tabla3[[#This Row],[Fecha]]))</f>
        <v/>
      </c>
      <c r="K64" s="27" t="str">
        <f>IFERROR(IF(Tabla3[[#This Row],[OEE]]&lt;&gt;"No",Tabla3[[#This Row],[OEE]]/Tabla3[[#This Row],[Disponibilidad]],""),0)</f>
        <v/>
      </c>
    </row>
    <row r="65" spans="1:11" x14ac:dyDescent="0.25">
      <c r="A65" s="2">
        <v>45746</v>
      </c>
      <c r="B65" s="5">
        <f>SUMIFS('paradas-disp'!F:F,'paradas-disp'!A:A,Tabla3[[#This Row],[Fecha]])</f>
        <v>0</v>
      </c>
      <c r="D65" s="15">
        <f>IF(Tabla3[[#This Row],[Fecha]]&lt;53,"",IFERROR(((HOUR(Tabla3[[#This Row],[Horas]])*60+MINUTE(Tabla3[[#This Row],[Horas]]))/60)*$D$1,""))</f>
        <v>0</v>
      </c>
      <c r="E65" s="22" t="str">
        <f>IFERROR(Tabla3[[#This Row],[Cantidad producida]]/Tabla3[[#This Row],[Cantidad teórica]],"")</f>
        <v/>
      </c>
      <c r="F65" s="22">
        <f>IF(Tabla3[[#This Row],[Fecha]]&lt;53,"",IFERROR(Tabla3[[#This Row],[Horas]]/$F$1,""))</f>
        <v>0</v>
      </c>
      <c r="G65" s="15" t="str">
        <f>IF(Tabla3[[#This Row],[Disponibilidad]]="","",IF(Tabla3[[#This Row],[Disponibilidad]]&gt;1,"NO",""))</f>
        <v/>
      </c>
      <c r="H65" t="str">
        <f>IFERROR(IF(VLOOKUP(Tabla3[[#This Row],[Fecha]],Tabla1[[Día]:[P/LC/CF/CL]],5,FALSE)="LC","SI",""),"")</f>
        <v/>
      </c>
      <c r="I65" s="22" t="str">
        <f>IFERROR(Tabla3[[#This Row],[Disponibilidad]]*Tabla3[[#This Row],[Rendimiento]], IF(Tabla3[[#This Row],[LC]]="SI", 0, "No"))</f>
        <v>No</v>
      </c>
      <c r="J65" s="16" t="str">
        <f>IF(Tabla3[[#This Row],[OEE]]="No","",WEEKNUM(Tabla3[[#This Row],[Fecha]]))</f>
        <v/>
      </c>
      <c r="K65" s="27" t="str">
        <f>IFERROR(IF(Tabla3[[#This Row],[OEE]]&lt;&gt;"No",Tabla3[[#This Row],[OEE]]/Tabla3[[#This Row],[Disponibilidad]],""),0)</f>
        <v/>
      </c>
    </row>
    <row r="66" spans="1:11" x14ac:dyDescent="0.25">
      <c r="A66" s="2">
        <v>45747</v>
      </c>
      <c r="B66" s="5">
        <f>SUMIFS('paradas-disp'!F:F,'paradas-disp'!A:A,Tabla3[[#This Row],[Fecha]])</f>
        <v>0</v>
      </c>
      <c r="D66" s="15">
        <f>IF(Tabla3[[#This Row],[Fecha]]&lt;53,"",IFERROR(((HOUR(Tabla3[[#This Row],[Horas]])*60+MINUTE(Tabla3[[#This Row],[Horas]]))/60)*$D$1,""))</f>
        <v>0</v>
      </c>
      <c r="E66" s="22" t="str">
        <f>IFERROR(Tabla3[[#This Row],[Cantidad producida]]/Tabla3[[#This Row],[Cantidad teórica]],"")</f>
        <v/>
      </c>
      <c r="F66" s="22">
        <f>IF(Tabla3[[#This Row],[Fecha]]&lt;53,"",IFERROR(Tabla3[[#This Row],[Horas]]/$F$1,""))</f>
        <v>0</v>
      </c>
      <c r="G66" s="15" t="str">
        <f>IF(Tabla3[[#This Row],[Disponibilidad]]="","",IF(Tabla3[[#This Row],[Disponibilidad]]&gt;1,"NO",""))</f>
        <v/>
      </c>
      <c r="H66" t="str">
        <f>IFERROR(IF(VLOOKUP(Tabla3[[#This Row],[Fecha]],Tabla1[[Día]:[P/LC/CF/CL]],5,FALSE)="LC","SI",""),"")</f>
        <v/>
      </c>
      <c r="I66" s="22" t="str">
        <f>IFERROR(Tabla3[[#This Row],[Disponibilidad]]*Tabla3[[#This Row],[Rendimiento]], IF(Tabla3[[#This Row],[LC]]="SI", 0, "No"))</f>
        <v>No</v>
      </c>
      <c r="J66" s="16" t="str">
        <f>IF(Tabla3[[#This Row],[OEE]]="No","",WEEKNUM(Tabla3[[#This Row],[Fecha]]))</f>
        <v/>
      </c>
      <c r="K66" s="27" t="str">
        <f>IFERROR(IF(Tabla3[[#This Row],[OEE]]&lt;&gt;"No",Tabla3[[#This Row],[OEE]]/Tabla3[[#This Row],[Disponibilidad]],""),0)</f>
        <v/>
      </c>
    </row>
    <row r="67" spans="1:11" x14ac:dyDescent="0.25">
      <c r="A67" s="2">
        <v>45748</v>
      </c>
      <c r="B67" s="5">
        <f>SUMIFS('paradas-disp'!F:F,'paradas-disp'!A:A,Tabla3[[#This Row],[Fecha]])</f>
        <v>0</v>
      </c>
      <c r="D67" s="15">
        <f>IF(Tabla3[[#This Row],[Fecha]]&lt;53,"",IFERROR(((HOUR(Tabla3[[#This Row],[Horas]])*60+MINUTE(Tabla3[[#This Row],[Horas]]))/60)*$D$1,""))</f>
        <v>0</v>
      </c>
      <c r="E67" s="22" t="str">
        <f>IFERROR(Tabla3[[#This Row],[Cantidad producida]]/Tabla3[[#This Row],[Cantidad teórica]],"")</f>
        <v/>
      </c>
      <c r="F67" s="22">
        <f>IF(Tabla3[[#This Row],[Fecha]]&lt;53,"",IFERROR(Tabla3[[#This Row],[Horas]]/$F$1,""))</f>
        <v>0</v>
      </c>
      <c r="G67" s="15" t="str">
        <f>IF(Tabla3[[#This Row],[Disponibilidad]]="","",IF(Tabla3[[#This Row],[Disponibilidad]]&gt;1,"NO",""))</f>
        <v/>
      </c>
      <c r="H67" t="str">
        <f>IFERROR(IF(VLOOKUP(Tabla3[[#This Row],[Fecha]],Tabla1[[Día]:[P/LC/CF/CL]],5,FALSE)="LC","SI",""),"")</f>
        <v/>
      </c>
      <c r="I67" s="22" t="str">
        <f>IFERROR(Tabla3[[#This Row],[Disponibilidad]]*Tabla3[[#This Row],[Rendimiento]], IF(Tabla3[[#This Row],[LC]]="SI", 0, "No"))</f>
        <v>No</v>
      </c>
      <c r="J67" s="16" t="str">
        <f>IF(Tabla3[[#This Row],[OEE]]="No","",WEEKNUM(Tabla3[[#This Row],[Fecha]]))</f>
        <v/>
      </c>
      <c r="K67" s="27" t="str">
        <f>IFERROR(IF(Tabla3[[#This Row],[OEE]]&lt;&gt;"No",Tabla3[[#This Row],[OEE]]/Tabla3[[#This Row],[Disponibilidad]],""),0)</f>
        <v/>
      </c>
    </row>
    <row r="68" spans="1:11" x14ac:dyDescent="0.25">
      <c r="A68" s="2">
        <v>45749</v>
      </c>
      <c r="B68" s="5">
        <f>SUMIFS('paradas-disp'!F:F,'paradas-disp'!A:A,Tabla3[[#This Row],[Fecha]])</f>
        <v>0</v>
      </c>
      <c r="D68" s="15">
        <f>IF(Tabla3[[#This Row],[Fecha]]&lt;53,"",IFERROR(((HOUR(Tabla3[[#This Row],[Horas]])*60+MINUTE(Tabla3[[#This Row],[Horas]]))/60)*$D$1,""))</f>
        <v>0</v>
      </c>
      <c r="E68" s="22" t="str">
        <f>IFERROR(Tabla3[[#This Row],[Cantidad producida]]/Tabla3[[#This Row],[Cantidad teórica]],"")</f>
        <v/>
      </c>
      <c r="F68" s="22">
        <f>IF(Tabla3[[#This Row],[Fecha]]&lt;53,"",IFERROR(Tabla3[[#This Row],[Horas]]/$F$1,""))</f>
        <v>0</v>
      </c>
      <c r="G68" s="15" t="str">
        <f>IF(Tabla3[[#This Row],[Disponibilidad]]="","",IF(Tabla3[[#This Row],[Disponibilidad]]&gt;1,"NO",""))</f>
        <v/>
      </c>
      <c r="H68" t="str">
        <f>IFERROR(IF(VLOOKUP(Tabla3[[#This Row],[Fecha]],Tabla1[[Día]:[P/LC/CF/CL]],5,FALSE)="LC","SI",""),"")</f>
        <v/>
      </c>
      <c r="I68" s="22" t="str">
        <f>IFERROR(Tabla3[[#This Row],[Disponibilidad]]*Tabla3[[#This Row],[Rendimiento]], IF(Tabla3[[#This Row],[LC]]="SI", 0, "No"))</f>
        <v>No</v>
      </c>
      <c r="J68" s="16" t="str">
        <f>IF(Tabla3[[#This Row],[OEE]]="No","",WEEKNUM(Tabla3[[#This Row],[Fecha]]))</f>
        <v/>
      </c>
      <c r="K68" s="27" t="str">
        <f>IFERROR(IF(Tabla3[[#This Row],[OEE]]&lt;&gt;"No",Tabla3[[#This Row],[OEE]]/Tabla3[[#This Row],[Disponibilidad]],""),0)</f>
        <v/>
      </c>
    </row>
    <row r="69" spans="1:11" x14ac:dyDescent="0.25">
      <c r="A69" s="2">
        <v>45750</v>
      </c>
      <c r="B69" s="5">
        <f>SUMIFS('paradas-disp'!F:F,'paradas-disp'!A:A,Tabla3[[#This Row],[Fecha]])</f>
        <v>0</v>
      </c>
      <c r="D69" s="15">
        <f>IF(Tabla3[[#This Row],[Fecha]]&lt;53,"",IFERROR(((HOUR(Tabla3[[#This Row],[Horas]])*60+MINUTE(Tabla3[[#This Row],[Horas]]))/60)*$D$1,""))</f>
        <v>0</v>
      </c>
      <c r="E69" s="22" t="str">
        <f>IFERROR(Tabla3[[#This Row],[Cantidad producida]]/Tabla3[[#This Row],[Cantidad teórica]],"")</f>
        <v/>
      </c>
      <c r="F69" s="22">
        <f>IF(Tabla3[[#This Row],[Fecha]]&lt;53,"",IFERROR(Tabla3[[#This Row],[Horas]]/$F$1,""))</f>
        <v>0</v>
      </c>
      <c r="G69" s="15" t="str">
        <f>IF(Tabla3[[#This Row],[Disponibilidad]]="","",IF(Tabla3[[#This Row],[Disponibilidad]]&gt;1,"NO",""))</f>
        <v/>
      </c>
      <c r="H69" t="str">
        <f>IFERROR(IF(VLOOKUP(Tabla3[[#This Row],[Fecha]],Tabla1[[Día]:[P/LC/CF/CL]],5,FALSE)="LC","SI",""),"")</f>
        <v/>
      </c>
      <c r="I69" s="22" t="str">
        <f>IFERROR(Tabla3[[#This Row],[Disponibilidad]]*Tabla3[[#This Row],[Rendimiento]], IF(Tabla3[[#This Row],[LC]]="SI", 0, "No"))</f>
        <v>No</v>
      </c>
      <c r="J69" s="16" t="str">
        <f>IF(Tabla3[[#This Row],[OEE]]="No","",WEEKNUM(Tabla3[[#This Row],[Fecha]]))</f>
        <v/>
      </c>
      <c r="K69" s="27" t="str">
        <f>IFERROR(IF(Tabla3[[#This Row],[OEE]]&lt;&gt;"No",Tabla3[[#This Row],[OEE]]/Tabla3[[#This Row],[Disponibilidad]],""),0)</f>
        <v/>
      </c>
    </row>
    <row r="70" spans="1:11" x14ac:dyDescent="0.25">
      <c r="A70" s="2">
        <v>45751</v>
      </c>
      <c r="B70" s="5">
        <f>SUMIFS('paradas-disp'!F:F,'paradas-disp'!A:A,Tabla3[[#This Row],[Fecha]])</f>
        <v>0</v>
      </c>
      <c r="D70" s="15">
        <f>IF(Tabla3[[#This Row],[Fecha]]&lt;53,"",IFERROR(((HOUR(Tabla3[[#This Row],[Horas]])*60+MINUTE(Tabla3[[#This Row],[Horas]]))/60)*$D$1,""))</f>
        <v>0</v>
      </c>
      <c r="E70" s="22" t="str">
        <f>IFERROR(Tabla3[[#This Row],[Cantidad producida]]/Tabla3[[#This Row],[Cantidad teórica]],"")</f>
        <v/>
      </c>
      <c r="F70" s="22">
        <f>IF(Tabla3[[#This Row],[Fecha]]&lt;53,"",IFERROR(Tabla3[[#This Row],[Horas]]/$F$1,""))</f>
        <v>0</v>
      </c>
      <c r="G70" s="15" t="str">
        <f>IF(Tabla3[[#This Row],[Disponibilidad]]="","",IF(Tabla3[[#This Row],[Disponibilidad]]&gt;1,"NO",""))</f>
        <v/>
      </c>
      <c r="H70" t="str">
        <f>IFERROR(IF(VLOOKUP(Tabla3[[#This Row],[Fecha]],Tabla1[[Día]:[P/LC/CF/CL]],5,FALSE)="LC","SI",""),"")</f>
        <v/>
      </c>
      <c r="I70" s="22" t="str">
        <f>IFERROR(Tabla3[[#This Row],[Disponibilidad]]*Tabla3[[#This Row],[Rendimiento]], IF(Tabla3[[#This Row],[LC]]="SI", 0, "No"))</f>
        <v>No</v>
      </c>
      <c r="J70" s="16" t="str">
        <f>IF(Tabla3[[#This Row],[OEE]]="No","",WEEKNUM(Tabla3[[#This Row],[Fecha]]))</f>
        <v/>
      </c>
      <c r="K70" s="27" t="str">
        <f>IFERROR(IF(Tabla3[[#This Row],[OEE]]&lt;&gt;"No",Tabla3[[#This Row],[OEE]]/Tabla3[[#This Row],[Disponibilidad]],""),0)</f>
        <v/>
      </c>
    </row>
    <row r="71" spans="1:11" x14ac:dyDescent="0.25">
      <c r="A71" s="2">
        <v>45752</v>
      </c>
      <c r="B71" s="5">
        <f>SUMIFS('paradas-disp'!F:F,'paradas-disp'!A:A,Tabla3[[#This Row],[Fecha]])</f>
        <v>0</v>
      </c>
      <c r="D71" s="15">
        <f>IF(Tabla3[[#This Row],[Fecha]]&lt;53,"",IFERROR(((HOUR(Tabla3[[#This Row],[Horas]])*60+MINUTE(Tabla3[[#This Row],[Horas]]))/60)*$D$1,""))</f>
        <v>0</v>
      </c>
      <c r="E71" s="22" t="str">
        <f>IFERROR(Tabla3[[#This Row],[Cantidad producida]]/Tabla3[[#This Row],[Cantidad teórica]],"")</f>
        <v/>
      </c>
      <c r="F71" s="22">
        <f>IF(Tabla3[[#This Row],[Fecha]]&lt;53,"",IFERROR(Tabla3[[#This Row],[Horas]]/$F$1,""))</f>
        <v>0</v>
      </c>
      <c r="G71" s="15" t="str">
        <f>IF(Tabla3[[#This Row],[Disponibilidad]]="","",IF(Tabla3[[#This Row],[Disponibilidad]]&gt;1,"NO",""))</f>
        <v/>
      </c>
      <c r="H71" t="str">
        <f>IFERROR(IF(VLOOKUP(Tabla3[[#This Row],[Fecha]],Tabla1[[Día]:[P/LC/CF/CL]],5,FALSE)="LC","SI",""),"")</f>
        <v/>
      </c>
      <c r="I71" s="22" t="str">
        <f>IFERROR(Tabla3[[#This Row],[Disponibilidad]]*Tabla3[[#This Row],[Rendimiento]], IF(Tabla3[[#This Row],[LC]]="SI", 0, "No"))</f>
        <v>No</v>
      </c>
      <c r="J71" s="16" t="str">
        <f>IF(Tabla3[[#This Row],[OEE]]="No","",WEEKNUM(Tabla3[[#This Row],[Fecha]]))</f>
        <v/>
      </c>
      <c r="K71" s="27" t="str">
        <f>IFERROR(IF(Tabla3[[#This Row],[OEE]]&lt;&gt;"No",Tabla3[[#This Row],[OEE]]/Tabla3[[#This Row],[Disponibilidad]],""),0)</f>
        <v/>
      </c>
    </row>
    <row r="72" spans="1:11" x14ac:dyDescent="0.25">
      <c r="A72" s="2">
        <v>45753</v>
      </c>
      <c r="B72" s="5">
        <f>SUMIFS('paradas-disp'!F:F,'paradas-disp'!A:A,Tabla3[[#This Row],[Fecha]])</f>
        <v>0</v>
      </c>
      <c r="D72" s="15">
        <f>IF(Tabla3[[#This Row],[Fecha]]&lt;53,"",IFERROR(((HOUR(Tabla3[[#This Row],[Horas]])*60+MINUTE(Tabla3[[#This Row],[Horas]]))/60)*$D$1,""))</f>
        <v>0</v>
      </c>
      <c r="E72" s="22" t="str">
        <f>IFERROR(Tabla3[[#This Row],[Cantidad producida]]/Tabla3[[#This Row],[Cantidad teórica]],"")</f>
        <v/>
      </c>
      <c r="F72" s="22">
        <f>IF(Tabla3[[#This Row],[Fecha]]&lt;53,"",IFERROR(Tabla3[[#This Row],[Horas]]/$F$1,""))</f>
        <v>0</v>
      </c>
      <c r="G72" s="15" t="str">
        <f>IF(Tabla3[[#This Row],[Disponibilidad]]="","",IF(Tabla3[[#This Row],[Disponibilidad]]&gt;1,"NO",""))</f>
        <v/>
      </c>
      <c r="H72" t="str">
        <f>IFERROR(IF(VLOOKUP(Tabla3[[#This Row],[Fecha]],Tabla1[[Día]:[P/LC/CF/CL]],5,FALSE)="LC","SI",""),"")</f>
        <v/>
      </c>
      <c r="I72" s="22" t="str">
        <f>IFERROR(Tabla3[[#This Row],[Disponibilidad]]*Tabla3[[#This Row],[Rendimiento]], IF(Tabla3[[#This Row],[LC]]="SI", 0, "No"))</f>
        <v>No</v>
      </c>
      <c r="J72" s="16" t="str">
        <f>IF(Tabla3[[#This Row],[OEE]]="No","",WEEKNUM(Tabla3[[#This Row],[Fecha]]))</f>
        <v/>
      </c>
      <c r="K72" s="27" t="str">
        <f>IFERROR(IF(Tabla3[[#This Row],[OEE]]&lt;&gt;"No",Tabla3[[#This Row],[OEE]]/Tabla3[[#This Row],[Disponibilidad]],""),0)</f>
        <v/>
      </c>
    </row>
    <row r="73" spans="1:11" x14ac:dyDescent="0.25">
      <c r="A73" s="2">
        <v>45754</v>
      </c>
      <c r="B73" s="5">
        <f>SUMIFS('paradas-disp'!F:F,'paradas-disp'!A:A,Tabla3[[#This Row],[Fecha]])</f>
        <v>0</v>
      </c>
      <c r="C73">
        <v>7112</v>
      </c>
      <c r="D73" s="15">
        <f>IF(Tabla3[[#This Row],[Fecha]]&lt;53,"",IFERROR(((HOUR(Tabla3[[#This Row],[Horas]])*60+MINUTE(Tabla3[[#This Row],[Horas]]))/60)*$D$1,""))</f>
        <v>0</v>
      </c>
      <c r="E73" s="22" t="str">
        <f>IFERROR(Tabla3[[#This Row],[Cantidad producida]]/Tabla3[[#This Row],[Cantidad teórica]],"")</f>
        <v/>
      </c>
      <c r="F73" s="22">
        <f>IF(Tabla3[[#This Row],[Fecha]]&lt;53,"",IFERROR(Tabla3[[#This Row],[Horas]]/$F$1,""))</f>
        <v>0</v>
      </c>
      <c r="G73" s="15" t="str">
        <f>IF(Tabla3[[#This Row],[Disponibilidad]]="","",IF(Tabla3[[#This Row],[Disponibilidad]]&gt;1,"NO",""))</f>
        <v/>
      </c>
      <c r="H73" t="str">
        <f>IFERROR(IF(VLOOKUP(Tabla3[[#This Row],[Fecha]],Tabla1[[Día]:[P/LC/CF/CL]],5,FALSE)="LC","SI",""),"")</f>
        <v/>
      </c>
      <c r="I73" s="22" t="str">
        <f>IFERROR(Tabla3[[#This Row],[Disponibilidad]]*Tabla3[[#This Row],[Rendimiento]], IF(Tabla3[[#This Row],[LC]]="SI", 0, "No"))</f>
        <v>No</v>
      </c>
      <c r="J73" s="16" t="str">
        <f>IF(Tabla3[[#This Row],[OEE]]="No","",WEEKNUM(Tabla3[[#This Row],[Fecha]]))</f>
        <v/>
      </c>
      <c r="K73" s="27" t="str">
        <f>IFERROR(IF(Tabla3[[#This Row],[OEE]]&lt;&gt;"No",Tabla3[[#This Row],[OEE]]/Tabla3[[#This Row],[Disponibilidad]],""),0)</f>
        <v/>
      </c>
    </row>
    <row r="74" spans="1:11" x14ac:dyDescent="0.25">
      <c r="A74" s="2">
        <v>45755</v>
      </c>
      <c r="B74" s="5">
        <f>SUMIFS('paradas-disp'!F:F,'paradas-disp'!A:A,Tabla3[[#This Row],[Fecha]])</f>
        <v>0</v>
      </c>
      <c r="D74" s="15">
        <f>IF(Tabla3[[#This Row],[Fecha]]&lt;53,"",IFERROR(((HOUR(Tabla3[[#This Row],[Horas]])*60+MINUTE(Tabla3[[#This Row],[Horas]]))/60)*$D$1,""))</f>
        <v>0</v>
      </c>
      <c r="E74" s="22" t="str">
        <f>IFERROR(Tabla3[[#This Row],[Cantidad producida]]/Tabla3[[#This Row],[Cantidad teórica]],"")</f>
        <v/>
      </c>
      <c r="F74" s="22">
        <f>IF(Tabla3[[#This Row],[Fecha]]&lt;53,"",IFERROR(Tabla3[[#This Row],[Horas]]/$F$1,""))</f>
        <v>0</v>
      </c>
      <c r="G74" s="15" t="str">
        <f>IF(Tabla3[[#This Row],[Disponibilidad]]="","",IF(Tabla3[[#This Row],[Disponibilidad]]&gt;1,"NO",""))</f>
        <v/>
      </c>
      <c r="H74" t="str">
        <f>IFERROR(IF(VLOOKUP(Tabla3[[#This Row],[Fecha]],Tabla1[[Día]:[P/LC/CF/CL]],5,FALSE)="LC","SI",""),"")</f>
        <v/>
      </c>
      <c r="I74" s="22" t="str">
        <f>IFERROR(Tabla3[[#This Row],[Disponibilidad]]*Tabla3[[#This Row],[Rendimiento]], IF(Tabla3[[#This Row],[LC]]="SI", 0, "No"))</f>
        <v>No</v>
      </c>
      <c r="J74" s="16" t="str">
        <f>IF(Tabla3[[#This Row],[OEE]]="No","",WEEKNUM(Tabla3[[#This Row],[Fecha]]))</f>
        <v/>
      </c>
      <c r="K74" s="27" t="str">
        <f>IFERROR(IF(Tabla3[[#This Row],[OEE]]&lt;&gt;"No",Tabla3[[#This Row],[OEE]]/Tabla3[[#This Row],[Disponibilidad]],""),0)</f>
        <v/>
      </c>
    </row>
    <row r="75" spans="1:11" x14ac:dyDescent="0.25">
      <c r="A75" s="2">
        <v>45756</v>
      </c>
      <c r="B75" s="5">
        <f>SUMIFS('paradas-disp'!F:F,'paradas-disp'!A:A,Tabla3[[#This Row],[Fecha]])</f>
        <v>0</v>
      </c>
      <c r="D75" s="15">
        <f>IF(Tabla3[[#This Row],[Fecha]]&lt;53,"",IFERROR(((HOUR(Tabla3[[#This Row],[Horas]])*60+MINUTE(Tabla3[[#This Row],[Horas]]))/60)*$D$1,""))</f>
        <v>0</v>
      </c>
      <c r="E75" s="22" t="str">
        <f>IFERROR(Tabla3[[#This Row],[Cantidad producida]]/Tabla3[[#This Row],[Cantidad teórica]],"")</f>
        <v/>
      </c>
      <c r="F75" s="22">
        <f>IF(Tabla3[[#This Row],[Fecha]]&lt;53,"",IFERROR(Tabla3[[#This Row],[Horas]]/$F$1,""))</f>
        <v>0</v>
      </c>
      <c r="G75" s="15" t="str">
        <f>IF(Tabla3[[#This Row],[Disponibilidad]]="","",IF(Tabla3[[#This Row],[Disponibilidad]]&gt;1,"NO",""))</f>
        <v/>
      </c>
      <c r="H75" t="str">
        <f>IFERROR(IF(VLOOKUP(Tabla3[[#This Row],[Fecha]],Tabla1[[Día]:[P/LC/CF/CL]],5,FALSE)="LC","SI",""),"")</f>
        <v/>
      </c>
      <c r="I75" s="22" t="str">
        <f>IFERROR(Tabla3[[#This Row],[Disponibilidad]]*Tabla3[[#This Row],[Rendimiento]], IF(Tabla3[[#This Row],[LC]]="SI", 0, "No"))</f>
        <v>No</v>
      </c>
      <c r="J75" s="16" t="str">
        <f>IF(Tabla3[[#This Row],[OEE]]="No","",WEEKNUM(Tabla3[[#This Row],[Fecha]]))</f>
        <v/>
      </c>
      <c r="K75" s="27" t="str">
        <f>IFERROR(IF(Tabla3[[#This Row],[OEE]]&lt;&gt;"No",Tabla3[[#This Row],[OEE]]/Tabla3[[#This Row],[Disponibilidad]],""),0)</f>
        <v/>
      </c>
    </row>
    <row r="76" spans="1:11" x14ac:dyDescent="0.25">
      <c r="A76" s="2">
        <v>45757</v>
      </c>
      <c r="B76" s="5">
        <f>SUMIFS('paradas-disp'!F:F,'paradas-disp'!A:A,Tabla3[[#This Row],[Fecha]])</f>
        <v>0</v>
      </c>
      <c r="D76" s="15">
        <f>IF(Tabla3[[#This Row],[Fecha]]&lt;53,"",IFERROR(((HOUR(Tabla3[[#This Row],[Horas]])*60+MINUTE(Tabla3[[#This Row],[Horas]]))/60)*$D$1,""))</f>
        <v>0</v>
      </c>
      <c r="E76" s="22" t="str">
        <f>IFERROR(Tabla3[[#This Row],[Cantidad producida]]/Tabla3[[#This Row],[Cantidad teórica]],"")</f>
        <v/>
      </c>
      <c r="F76" s="22">
        <f>IF(Tabla3[[#This Row],[Fecha]]&lt;53,"",IFERROR(Tabla3[[#This Row],[Horas]]/$F$1,""))</f>
        <v>0</v>
      </c>
      <c r="G76" s="15" t="str">
        <f>IF(Tabla3[[#This Row],[Disponibilidad]]="","",IF(Tabla3[[#This Row],[Disponibilidad]]&gt;1,"NO",""))</f>
        <v/>
      </c>
      <c r="H76" t="str">
        <f>IFERROR(IF(VLOOKUP(Tabla3[[#This Row],[Fecha]],Tabla1[[Día]:[P/LC/CF/CL]],5,FALSE)="LC","SI",""),"")</f>
        <v/>
      </c>
      <c r="I76" s="22" t="str">
        <f>IFERROR(Tabla3[[#This Row],[Disponibilidad]]*Tabla3[[#This Row],[Rendimiento]], IF(Tabla3[[#This Row],[LC]]="SI", 0, "No"))</f>
        <v>No</v>
      </c>
      <c r="J76" s="16" t="str">
        <f>IF(Tabla3[[#This Row],[OEE]]="No","",WEEKNUM(Tabla3[[#This Row],[Fecha]]))</f>
        <v/>
      </c>
      <c r="K76" s="27" t="str">
        <f>IFERROR(IF(Tabla3[[#This Row],[OEE]]&lt;&gt;"No",Tabla3[[#This Row],[OEE]]/Tabla3[[#This Row],[Disponibilidad]],""),0)</f>
        <v/>
      </c>
    </row>
    <row r="77" spans="1:11" x14ac:dyDescent="0.25">
      <c r="A77" s="2">
        <v>45758</v>
      </c>
      <c r="B77" s="5">
        <f>SUMIFS('paradas-disp'!F:F,'paradas-disp'!A:A,Tabla3[[#This Row],[Fecha]])</f>
        <v>0</v>
      </c>
      <c r="D77" s="15">
        <f>IF(Tabla3[[#This Row],[Fecha]]&lt;53,"",IFERROR(((HOUR(Tabla3[[#This Row],[Horas]])*60+MINUTE(Tabla3[[#This Row],[Horas]]))/60)*$D$1,""))</f>
        <v>0</v>
      </c>
      <c r="E77" s="22" t="str">
        <f>IFERROR(Tabla3[[#This Row],[Cantidad producida]]/Tabla3[[#This Row],[Cantidad teórica]],"")</f>
        <v/>
      </c>
      <c r="F77" s="22">
        <f>IF(Tabla3[[#This Row],[Fecha]]&lt;53,"",IFERROR(Tabla3[[#This Row],[Horas]]/$F$1,""))</f>
        <v>0</v>
      </c>
      <c r="G77" s="15" t="str">
        <f>IF(Tabla3[[#This Row],[Disponibilidad]]="","",IF(Tabla3[[#This Row],[Disponibilidad]]&gt;1,"NO",""))</f>
        <v/>
      </c>
      <c r="H77" t="str">
        <f>IFERROR(IF(VLOOKUP(Tabla3[[#This Row],[Fecha]],Tabla1[[Día]:[P/LC/CF/CL]],5,FALSE)="LC","SI",""),"")</f>
        <v>SI</v>
      </c>
      <c r="I77" s="22">
        <f>IFERROR(Tabla3[[#This Row],[Disponibilidad]]*Tabla3[[#This Row],[Rendimiento]], IF(Tabla3[[#This Row],[LC]]="SI", 0, "No"))</f>
        <v>0</v>
      </c>
      <c r="J77" s="16">
        <f>IF(Tabla3[[#This Row],[OEE]]="No","",WEEKNUM(Tabla3[[#This Row],[Fecha]]))</f>
        <v>15</v>
      </c>
      <c r="K77" s="27">
        <f>IFERROR(IF(Tabla3[[#This Row],[OEE]]&lt;&gt;"No",Tabla3[[#This Row],[OEE]]/Tabla3[[#This Row],[Disponibilidad]],""),0)</f>
        <v>0</v>
      </c>
    </row>
    <row r="78" spans="1:11" x14ac:dyDescent="0.25">
      <c r="A78" s="2">
        <v>45759</v>
      </c>
      <c r="B78" s="5">
        <f>SUMIFS('paradas-disp'!F:F,'paradas-disp'!A:A,Tabla3[[#This Row],[Fecha]])</f>
        <v>0</v>
      </c>
      <c r="D78" s="15">
        <f>IF(Tabla3[[#This Row],[Fecha]]&lt;53,"",IFERROR(((HOUR(Tabla3[[#This Row],[Horas]])*60+MINUTE(Tabla3[[#This Row],[Horas]]))/60)*$D$1,""))</f>
        <v>0</v>
      </c>
      <c r="E78" s="22" t="str">
        <f>IFERROR(Tabla3[[#This Row],[Cantidad producida]]/Tabla3[[#This Row],[Cantidad teórica]],"")</f>
        <v/>
      </c>
      <c r="F78" s="22">
        <f>IF(Tabla3[[#This Row],[Fecha]]&lt;53,"",IFERROR(Tabla3[[#This Row],[Horas]]/$F$1,""))</f>
        <v>0</v>
      </c>
      <c r="G78" s="15" t="str">
        <f>IF(Tabla3[[#This Row],[Disponibilidad]]="","",IF(Tabla3[[#This Row],[Disponibilidad]]&gt;1,"NO",""))</f>
        <v/>
      </c>
      <c r="H78" t="str">
        <f>IFERROR(IF(VLOOKUP(Tabla3[[#This Row],[Fecha]],Tabla1[[Día]:[P/LC/CF/CL]],5,FALSE)="LC","SI",""),"")</f>
        <v/>
      </c>
      <c r="I78" s="22" t="str">
        <f>IFERROR(Tabla3[[#This Row],[Disponibilidad]]*Tabla3[[#This Row],[Rendimiento]], IF(Tabla3[[#This Row],[LC]]="SI", 0, "No"))</f>
        <v>No</v>
      </c>
      <c r="J78" s="16" t="str">
        <f>IF(Tabla3[[#This Row],[OEE]]="No","",WEEKNUM(Tabla3[[#This Row],[Fecha]]))</f>
        <v/>
      </c>
      <c r="K78" s="27" t="str">
        <f>IFERROR(IF(Tabla3[[#This Row],[OEE]]&lt;&gt;"No",Tabla3[[#This Row],[OEE]]/Tabla3[[#This Row],[Disponibilidad]],""),0)</f>
        <v/>
      </c>
    </row>
    <row r="79" spans="1:11" x14ac:dyDescent="0.25">
      <c r="A79" s="2">
        <v>45760</v>
      </c>
      <c r="B79" s="5">
        <f>SUMIFS('paradas-disp'!F:F,'paradas-disp'!A:A,Tabla3[[#This Row],[Fecha]])</f>
        <v>0</v>
      </c>
      <c r="D79" s="15">
        <f>IF(Tabla3[[#This Row],[Fecha]]&lt;53,"",IFERROR(((HOUR(Tabla3[[#This Row],[Horas]])*60+MINUTE(Tabla3[[#This Row],[Horas]]))/60)*$D$1,""))</f>
        <v>0</v>
      </c>
      <c r="E79" s="22" t="str">
        <f>IFERROR(Tabla3[[#This Row],[Cantidad producida]]/Tabla3[[#This Row],[Cantidad teórica]],"")</f>
        <v/>
      </c>
      <c r="F79" s="22">
        <f>IF(Tabla3[[#This Row],[Fecha]]&lt;53,"",IFERROR(Tabla3[[#This Row],[Horas]]/$F$1,""))</f>
        <v>0</v>
      </c>
      <c r="G79" s="15" t="str">
        <f>IF(Tabla3[[#This Row],[Disponibilidad]]="","",IF(Tabla3[[#This Row],[Disponibilidad]]&gt;1,"NO",""))</f>
        <v/>
      </c>
      <c r="H79" t="str">
        <f>IFERROR(IF(VLOOKUP(Tabla3[[#This Row],[Fecha]],Tabla1[[Día]:[P/LC/CF/CL]],5,FALSE)="LC","SI",""),"")</f>
        <v/>
      </c>
      <c r="I79" s="22" t="str">
        <f>IFERROR(Tabla3[[#This Row],[Disponibilidad]]*Tabla3[[#This Row],[Rendimiento]], IF(Tabla3[[#This Row],[LC]]="SI", 0, "No"))</f>
        <v>No</v>
      </c>
      <c r="J79" s="16" t="str">
        <f>IF(Tabla3[[#This Row],[OEE]]="No","",WEEKNUM(Tabla3[[#This Row],[Fecha]]))</f>
        <v/>
      </c>
      <c r="K79" s="27" t="str">
        <f>IFERROR(IF(Tabla3[[#This Row],[OEE]]&lt;&gt;"No",Tabla3[[#This Row],[OEE]]/Tabla3[[#This Row],[Disponibilidad]],""),0)</f>
        <v/>
      </c>
    </row>
    <row r="80" spans="1:11" x14ac:dyDescent="0.25">
      <c r="A80" s="2">
        <v>45761</v>
      </c>
      <c r="B80" s="5">
        <f>SUMIFS('paradas-disp'!F:F,'paradas-disp'!A:A,Tabla3[[#This Row],[Fecha]])</f>
        <v>0</v>
      </c>
      <c r="C80">
        <v>1771</v>
      </c>
      <c r="D80" s="15">
        <f>IF(Tabla3[[#This Row],[Fecha]]&lt;53,"",IFERROR(((HOUR(Tabla3[[#This Row],[Horas]])*60+MINUTE(Tabla3[[#This Row],[Horas]]))/60)*$D$1,""))</f>
        <v>0</v>
      </c>
      <c r="E80" s="22" t="str">
        <f>IFERROR(Tabla3[[#This Row],[Cantidad producida]]/Tabla3[[#This Row],[Cantidad teórica]],"")</f>
        <v/>
      </c>
      <c r="F80" s="22">
        <f>IF(Tabla3[[#This Row],[Fecha]]&lt;53,"",IFERROR(Tabla3[[#This Row],[Horas]]/$F$1,""))</f>
        <v>0</v>
      </c>
      <c r="G80" s="15" t="str">
        <f>IF(Tabla3[[#This Row],[Disponibilidad]]="","",IF(Tabla3[[#This Row],[Disponibilidad]]&gt;1,"NO",""))</f>
        <v/>
      </c>
      <c r="H80" t="str">
        <f>IFERROR(IF(VLOOKUP(Tabla3[[#This Row],[Fecha]],Tabla1[[Día]:[P/LC/CF/CL]],5,FALSE)="LC","SI",""),"")</f>
        <v>SI</v>
      </c>
      <c r="I80" s="22">
        <f>IFERROR(Tabla3[[#This Row],[Disponibilidad]]*Tabla3[[#This Row],[Rendimiento]], IF(Tabla3[[#This Row],[LC]]="SI", 0, "No"))</f>
        <v>0</v>
      </c>
      <c r="J80" s="16">
        <f>IF(Tabla3[[#This Row],[OEE]]="No","",WEEKNUM(Tabla3[[#This Row],[Fecha]]))</f>
        <v>16</v>
      </c>
      <c r="K80" s="27">
        <f>IFERROR(IF(Tabla3[[#This Row],[OEE]]&lt;&gt;"No",Tabla3[[#This Row],[OEE]]/Tabla3[[#This Row],[Disponibilidad]],""),0)</f>
        <v>0</v>
      </c>
    </row>
    <row r="81" spans="1:11" x14ac:dyDescent="0.25">
      <c r="A81" s="2">
        <v>45762</v>
      </c>
      <c r="B81" s="5">
        <f>SUMIFS('paradas-disp'!F:F,'paradas-disp'!A:A,Tabla3[[#This Row],[Fecha]])</f>
        <v>0</v>
      </c>
      <c r="C81">
        <v>3510</v>
      </c>
      <c r="D81" s="15">
        <f>IF(Tabla3[[#This Row],[Fecha]]&lt;53,"",IFERROR(((HOUR(Tabla3[[#This Row],[Horas]])*60+MINUTE(Tabla3[[#This Row],[Horas]]))/60)*$D$1,""))</f>
        <v>0</v>
      </c>
      <c r="E81" s="22" t="str">
        <f>IFERROR(Tabla3[[#This Row],[Cantidad producida]]/Tabla3[[#This Row],[Cantidad teórica]],"")</f>
        <v/>
      </c>
      <c r="F81" s="22">
        <f>IF(Tabla3[[#This Row],[Fecha]]&lt;53,"",IFERROR(Tabla3[[#This Row],[Horas]]/$F$1,""))</f>
        <v>0</v>
      </c>
      <c r="G81" s="15" t="str">
        <f>IF(Tabla3[[#This Row],[Disponibilidad]]="","",IF(Tabla3[[#This Row],[Disponibilidad]]&gt;1,"NO",""))</f>
        <v/>
      </c>
      <c r="H81" t="str">
        <f>IFERROR(IF(VLOOKUP(Tabla3[[#This Row],[Fecha]],Tabla1[[Día]:[P/LC/CF/CL]],5,FALSE)="LC","SI",""),"")</f>
        <v>SI</v>
      </c>
      <c r="I81" s="22">
        <f>IFERROR(Tabla3[[#This Row],[Disponibilidad]]*Tabla3[[#This Row],[Rendimiento]], IF(Tabla3[[#This Row],[LC]]="SI", 0, "No"))</f>
        <v>0</v>
      </c>
      <c r="J81" s="16">
        <f>IF(Tabla3[[#This Row],[OEE]]="No","",WEEKNUM(Tabla3[[#This Row],[Fecha]]))</f>
        <v>16</v>
      </c>
      <c r="K81" s="27">
        <f>IFERROR(IF(Tabla3[[#This Row],[OEE]]&lt;&gt;"No",Tabla3[[#This Row],[OEE]]/Tabla3[[#This Row],[Disponibilidad]],""),0)</f>
        <v>0</v>
      </c>
    </row>
    <row r="82" spans="1:11" x14ac:dyDescent="0.25">
      <c r="A82" s="2">
        <v>45763</v>
      </c>
      <c r="B82" s="5">
        <f>SUMIFS('paradas-disp'!F:F,'paradas-disp'!A:A,Tabla3[[#This Row],[Fecha]])</f>
        <v>0</v>
      </c>
      <c r="C82">
        <v>12688</v>
      </c>
      <c r="D82" s="15">
        <f>IF(Tabla3[[#This Row],[Fecha]]&lt;53,"",IFERROR(((HOUR(Tabla3[[#This Row],[Horas]])*60+MINUTE(Tabla3[[#This Row],[Horas]]))/60)*$D$1,""))</f>
        <v>0</v>
      </c>
      <c r="E82" s="22" t="str">
        <f>IFERROR(Tabla3[[#This Row],[Cantidad producida]]/Tabla3[[#This Row],[Cantidad teórica]],"")</f>
        <v/>
      </c>
      <c r="F82" s="22">
        <f>IF(Tabla3[[#This Row],[Fecha]]&lt;53,"",IFERROR(Tabla3[[#This Row],[Horas]]/$F$1,""))</f>
        <v>0</v>
      </c>
      <c r="G82" s="15" t="str">
        <f>IF(Tabla3[[#This Row],[Disponibilidad]]="","",IF(Tabla3[[#This Row],[Disponibilidad]]&gt;1,"NO",""))</f>
        <v/>
      </c>
      <c r="H82" t="str">
        <f>IFERROR(IF(VLOOKUP(Tabla3[[#This Row],[Fecha]],Tabla1[[Día]:[P/LC/CF/CL]],5,FALSE)="LC","SI",""),"")</f>
        <v>SI</v>
      </c>
      <c r="I82" s="22">
        <f>IFERROR(Tabla3[[#This Row],[Disponibilidad]]*Tabla3[[#This Row],[Rendimiento]], IF(Tabla3[[#This Row],[LC]]="SI", 0, "No"))</f>
        <v>0</v>
      </c>
      <c r="J82" s="16">
        <f>IF(Tabla3[[#This Row],[OEE]]="No","",WEEKNUM(Tabla3[[#This Row],[Fecha]]))</f>
        <v>16</v>
      </c>
      <c r="K82" s="27">
        <f>IFERROR(IF(Tabla3[[#This Row],[OEE]]&lt;&gt;"No",Tabla3[[#This Row],[OEE]]/Tabla3[[#This Row],[Disponibilidad]],""),0)</f>
        <v>0</v>
      </c>
    </row>
    <row r="83" spans="1:11" x14ac:dyDescent="0.25">
      <c r="A83" s="2">
        <v>45764</v>
      </c>
      <c r="B83" s="5">
        <f>SUMIFS('paradas-disp'!F:F,'paradas-disp'!A:A,Tabla3[[#This Row],[Fecha]])</f>
        <v>0</v>
      </c>
      <c r="D83" s="15">
        <f>IF(Tabla3[[#This Row],[Fecha]]&lt;53,"",IFERROR(((HOUR(Tabla3[[#This Row],[Horas]])*60+MINUTE(Tabla3[[#This Row],[Horas]]))/60)*$D$1,""))</f>
        <v>0</v>
      </c>
      <c r="E83" s="22" t="str">
        <f>IFERROR(Tabla3[[#This Row],[Cantidad producida]]/Tabla3[[#This Row],[Cantidad teórica]],"")</f>
        <v/>
      </c>
      <c r="F83" s="22">
        <f>IF(Tabla3[[#This Row],[Fecha]]&lt;53,"",IFERROR(Tabla3[[#This Row],[Horas]]/$F$1,""))</f>
        <v>0</v>
      </c>
      <c r="G83" s="15" t="str">
        <f>IF(Tabla3[[#This Row],[Disponibilidad]]="","",IF(Tabla3[[#This Row],[Disponibilidad]]&gt;1,"NO",""))</f>
        <v/>
      </c>
      <c r="H83" t="str">
        <f>IFERROR(IF(VLOOKUP(Tabla3[[#This Row],[Fecha]],Tabla1[[Día]:[P/LC/CF/CL]],5,FALSE)="LC","SI",""),"")</f>
        <v/>
      </c>
      <c r="I83" s="22" t="str">
        <f>IFERROR(Tabla3[[#This Row],[Disponibilidad]]*Tabla3[[#This Row],[Rendimiento]], IF(Tabla3[[#This Row],[LC]]="SI", 0, "No"))</f>
        <v>No</v>
      </c>
      <c r="J83" s="16" t="str">
        <f>IF(Tabla3[[#This Row],[OEE]]="No","",WEEKNUM(Tabla3[[#This Row],[Fecha]]))</f>
        <v/>
      </c>
      <c r="K83" s="27" t="str">
        <f>IFERROR(IF(Tabla3[[#This Row],[OEE]]&lt;&gt;"No",Tabla3[[#This Row],[OEE]]/Tabla3[[#This Row],[Disponibilidad]],""),0)</f>
        <v/>
      </c>
    </row>
    <row r="84" spans="1:11" x14ac:dyDescent="0.25">
      <c r="A84" s="2">
        <v>45765</v>
      </c>
      <c r="B84" s="5">
        <f>SUMIFS('paradas-disp'!F:F,'paradas-disp'!A:A,Tabla3[[#This Row],[Fecha]])</f>
        <v>0</v>
      </c>
      <c r="D84" s="15">
        <f>IF(Tabla3[[#This Row],[Fecha]]&lt;53,"",IFERROR(((HOUR(Tabla3[[#This Row],[Horas]])*60+MINUTE(Tabla3[[#This Row],[Horas]]))/60)*$D$1,""))</f>
        <v>0</v>
      </c>
      <c r="E84" s="22" t="str">
        <f>IFERROR(Tabla3[[#This Row],[Cantidad producida]]/Tabla3[[#This Row],[Cantidad teórica]],"")</f>
        <v/>
      </c>
      <c r="F84" s="22">
        <f>IF(Tabla3[[#This Row],[Fecha]]&lt;53,"",IFERROR(Tabla3[[#This Row],[Horas]]/$F$1,""))</f>
        <v>0</v>
      </c>
      <c r="G84" s="15" t="str">
        <f>IF(Tabla3[[#This Row],[Disponibilidad]]="","",IF(Tabla3[[#This Row],[Disponibilidad]]&gt;1,"NO",""))</f>
        <v/>
      </c>
      <c r="H84" t="str">
        <f>IFERROR(IF(VLOOKUP(Tabla3[[#This Row],[Fecha]],Tabla1[[Día]:[P/LC/CF/CL]],5,FALSE)="LC","SI",""),"")</f>
        <v/>
      </c>
      <c r="I84" s="22" t="str">
        <f>IFERROR(Tabla3[[#This Row],[Disponibilidad]]*Tabla3[[#This Row],[Rendimiento]], IF(Tabla3[[#This Row],[LC]]="SI", 0, "No"))</f>
        <v>No</v>
      </c>
      <c r="J84" s="16" t="str">
        <f>IF(Tabla3[[#This Row],[OEE]]="No","",WEEKNUM(Tabla3[[#This Row],[Fecha]]))</f>
        <v/>
      </c>
      <c r="K84" s="27" t="str">
        <f>IFERROR(IF(Tabla3[[#This Row],[OEE]]&lt;&gt;"No",Tabla3[[#This Row],[OEE]]/Tabla3[[#This Row],[Disponibilidad]],""),0)</f>
        <v/>
      </c>
    </row>
    <row r="85" spans="1:11" x14ac:dyDescent="0.25">
      <c r="A85" s="2">
        <v>45766</v>
      </c>
      <c r="B85" s="5">
        <f>SUMIFS('paradas-disp'!F:F,'paradas-disp'!A:A,Tabla3[[#This Row],[Fecha]])</f>
        <v>0</v>
      </c>
      <c r="D85" s="15">
        <f>IF(Tabla3[[#This Row],[Fecha]]&lt;53,"",IFERROR(((HOUR(Tabla3[[#This Row],[Horas]])*60+MINUTE(Tabla3[[#This Row],[Horas]]))/60)*$D$1,""))</f>
        <v>0</v>
      </c>
      <c r="E85" s="22" t="str">
        <f>IFERROR(Tabla3[[#This Row],[Cantidad producida]]/Tabla3[[#This Row],[Cantidad teórica]],"")</f>
        <v/>
      </c>
      <c r="F85" s="22">
        <f>IF(Tabla3[[#This Row],[Fecha]]&lt;53,"",IFERROR(Tabla3[[#This Row],[Horas]]/$F$1,""))</f>
        <v>0</v>
      </c>
      <c r="G85" s="15" t="str">
        <f>IF(Tabla3[[#This Row],[Disponibilidad]]="","",IF(Tabla3[[#This Row],[Disponibilidad]]&gt;1,"NO",""))</f>
        <v/>
      </c>
      <c r="H85" t="str">
        <f>IFERROR(IF(VLOOKUP(Tabla3[[#This Row],[Fecha]],Tabla1[[Día]:[P/LC/CF/CL]],5,FALSE)="LC","SI",""),"")</f>
        <v/>
      </c>
      <c r="I85" s="22" t="str">
        <f>IFERROR(Tabla3[[#This Row],[Disponibilidad]]*Tabla3[[#This Row],[Rendimiento]], IF(Tabla3[[#This Row],[LC]]="SI", 0, "No"))</f>
        <v>No</v>
      </c>
      <c r="J85" s="16" t="str">
        <f>IF(Tabla3[[#This Row],[OEE]]="No","",WEEKNUM(Tabla3[[#This Row],[Fecha]]))</f>
        <v/>
      </c>
      <c r="K85" s="27" t="str">
        <f>IFERROR(IF(Tabla3[[#This Row],[OEE]]&lt;&gt;"No",Tabla3[[#This Row],[OEE]]/Tabla3[[#This Row],[Disponibilidad]],""),0)</f>
        <v/>
      </c>
    </row>
    <row r="86" spans="1:11" x14ac:dyDescent="0.25">
      <c r="A86" s="2">
        <v>45767</v>
      </c>
      <c r="B86" s="5">
        <f>SUMIFS('paradas-disp'!F:F,'paradas-disp'!A:A,Tabla3[[#This Row],[Fecha]])</f>
        <v>0</v>
      </c>
      <c r="D86" s="15">
        <f>IF(Tabla3[[#This Row],[Fecha]]&lt;53,"",IFERROR(((HOUR(Tabla3[[#This Row],[Horas]])*60+MINUTE(Tabla3[[#This Row],[Horas]]))/60)*$D$1,""))</f>
        <v>0</v>
      </c>
      <c r="E86" s="22" t="str">
        <f>IFERROR(Tabla3[[#This Row],[Cantidad producida]]/Tabla3[[#This Row],[Cantidad teórica]],"")</f>
        <v/>
      </c>
      <c r="F86" s="22">
        <f>IF(Tabla3[[#This Row],[Fecha]]&lt;53,"",IFERROR(Tabla3[[#This Row],[Horas]]/$F$1,""))</f>
        <v>0</v>
      </c>
      <c r="G86" s="15" t="str">
        <f>IF(Tabla3[[#This Row],[Disponibilidad]]="","",IF(Tabla3[[#This Row],[Disponibilidad]]&gt;1,"NO",""))</f>
        <v/>
      </c>
      <c r="H86" t="str">
        <f>IFERROR(IF(VLOOKUP(Tabla3[[#This Row],[Fecha]],Tabla1[[Día]:[P/LC/CF/CL]],5,FALSE)="LC","SI",""),"")</f>
        <v/>
      </c>
      <c r="I86" s="22" t="str">
        <f>IFERROR(Tabla3[[#This Row],[Disponibilidad]]*Tabla3[[#This Row],[Rendimiento]], IF(Tabla3[[#This Row],[LC]]="SI", 0, "No"))</f>
        <v>No</v>
      </c>
      <c r="J86" s="16" t="str">
        <f>IF(Tabla3[[#This Row],[OEE]]="No","",WEEKNUM(Tabla3[[#This Row],[Fecha]]))</f>
        <v/>
      </c>
      <c r="K86" s="27" t="str">
        <f>IFERROR(IF(Tabla3[[#This Row],[OEE]]&lt;&gt;"No",Tabla3[[#This Row],[OEE]]/Tabla3[[#This Row],[Disponibilidad]],""),0)</f>
        <v/>
      </c>
    </row>
    <row r="87" spans="1:11" x14ac:dyDescent="0.25">
      <c r="A87" s="2">
        <v>45768</v>
      </c>
      <c r="B87" s="5">
        <f>SUMIFS('paradas-disp'!F:F,'paradas-disp'!A:A,Tabla3[[#This Row],[Fecha]])</f>
        <v>0</v>
      </c>
      <c r="D87" s="15">
        <f>IF(Tabla3[[#This Row],[Fecha]]&lt;53,"",IFERROR(((HOUR(Tabla3[[#This Row],[Horas]])*60+MINUTE(Tabla3[[#This Row],[Horas]]))/60)*$D$1,""))</f>
        <v>0</v>
      </c>
      <c r="E87" s="22" t="str">
        <f>IFERROR(Tabla3[[#This Row],[Cantidad producida]]/Tabla3[[#This Row],[Cantidad teórica]],"")</f>
        <v/>
      </c>
      <c r="F87" s="22">
        <f>IF(Tabla3[[#This Row],[Fecha]]&lt;53,"",IFERROR(Tabla3[[#This Row],[Horas]]/$F$1,""))</f>
        <v>0</v>
      </c>
      <c r="G87" s="15" t="str">
        <f>IF(Tabla3[[#This Row],[Disponibilidad]]="","",IF(Tabla3[[#This Row],[Disponibilidad]]&gt;1,"NO",""))</f>
        <v/>
      </c>
      <c r="H87" t="str">
        <f>IFERROR(IF(VLOOKUP(Tabla3[[#This Row],[Fecha]],Tabla1[[Día]:[P/LC/CF/CL]],5,FALSE)="LC","SI",""),"")</f>
        <v/>
      </c>
      <c r="I87" s="22" t="str">
        <f>IFERROR(Tabla3[[#This Row],[Disponibilidad]]*Tabla3[[#This Row],[Rendimiento]], IF(Tabla3[[#This Row],[LC]]="SI", 0, "No"))</f>
        <v>No</v>
      </c>
      <c r="J87" s="16" t="str">
        <f>IF(Tabla3[[#This Row],[OEE]]="No","",WEEKNUM(Tabla3[[#This Row],[Fecha]]))</f>
        <v/>
      </c>
      <c r="K87" s="27" t="str">
        <f>IFERROR(IF(Tabla3[[#This Row],[OEE]]&lt;&gt;"No",Tabla3[[#This Row],[OEE]]/Tabla3[[#This Row],[Disponibilidad]],""),0)</f>
        <v/>
      </c>
    </row>
    <row r="88" spans="1:11" x14ac:dyDescent="0.25">
      <c r="A88" s="2">
        <v>45769</v>
      </c>
      <c r="B88" s="5">
        <f>SUMIFS('paradas-disp'!F:F,'paradas-disp'!A:A,Tabla3[[#This Row],[Fecha]])</f>
        <v>0.33333333333333326</v>
      </c>
      <c r="D88" s="15">
        <f>IF(Tabla3[[#This Row],[Fecha]]&lt;53,"",IFERROR(((HOUR(Tabla3[[#This Row],[Horas]])*60+MINUTE(Tabla3[[#This Row],[Horas]]))/60)*$D$1,""))</f>
        <v>14400</v>
      </c>
      <c r="E88" s="22">
        <f>IFERROR(Tabla3[[#This Row],[Cantidad producida]]/Tabla3[[#This Row],[Cantidad teórica]],"")</f>
        <v>0</v>
      </c>
      <c r="F88" s="22">
        <f>IF(Tabla3[[#This Row],[Fecha]]&lt;53,"",IFERROR(Tabla3[[#This Row],[Horas]]/$F$1,""))</f>
        <v>0.53333333333333321</v>
      </c>
      <c r="G88" s="15" t="str">
        <f>IF(Tabla3[[#This Row],[Disponibilidad]]="","",IF(Tabla3[[#This Row],[Disponibilidad]]&gt;1,"NO",""))</f>
        <v/>
      </c>
      <c r="H88" t="str">
        <f>IFERROR(IF(VLOOKUP(Tabla3[[#This Row],[Fecha]],Tabla1[[Día]:[P/LC/CF/CL]],5,FALSE)="LC","SI",""),"")</f>
        <v>SI</v>
      </c>
      <c r="I88" s="22">
        <f>IFERROR(Tabla3[[#This Row],[Disponibilidad]]*Tabla3[[#This Row],[Rendimiento]], IF(Tabla3[[#This Row],[LC]]="SI", 0, "No"))</f>
        <v>0</v>
      </c>
      <c r="J88" s="16">
        <f>IF(Tabla3[[#This Row],[OEE]]="No","",WEEKNUM(Tabla3[[#This Row],[Fecha]]))</f>
        <v>17</v>
      </c>
      <c r="K88" s="27">
        <f>IFERROR(IF(Tabla3[[#This Row],[OEE]]&lt;&gt;"No",Tabla3[[#This Row],[OEE]]/Tabla3[[#This Row],[Disponibilidad]],""),0)</f>
        <v>0</v>
      </c>
    </row>
    <row r="89" spans="1:11" x14ac:dyDescent="0.25">
      <c r="A89" s="2">
        <v>45770</v>
      </c>
      <c r="B89" s="5">
        <f>SUMIFS('paradas-disp'!F:F,'paradas-disp'!A:A,Tabla3[[#This Row],[Fecha]])</f>
        <v>0.66666666666666663</v>
      </c>
      <c r="C89">
        <v>15245</v>
      </c>
      <c r="D89" s="15">
        <f>IF(Tabla3[[#This Row],[Fecha]]&lt;53,"",IFERROR(((HOUR(Tabla3[[#This Row],[Horas]])*60+MINUTE(Tabla3[[#This Row],[Horas]]))/60)*$D$1,""))</f>
        <v>28800</v>
      </c>
      <c r="E89" s="22">
        <f>IFERROR(Tabla3[[#This Row],[Cantidad producida]]/Tabla3[[#This Row],[Cantidad teórica]],"")</f>
        <v>0.52934027777777781</v>
      </c>
      <c r="F89" s="22">
        <f>IF(Tabla3[[#This Row],[Fecha]]&lt;53,"",IFERROR(Tabla3[[#This Row],[Horas]]/$F$1,""))</f>
        <v>1.0666666666666667</v>
      </c>
      <c r="G89" s="15" t="str">
        <f>IF(Tabla3[[#This Row],[Disponibilidad]]="","",IF(Tabla3[[#This Row],[Disponibilidad]]&gt;1,"NO",""))</f>
        <v>NO</v>
      </c>
      <c r="H89" t="str">
        <f>IFERROR(IF(VLOOKUP(Tabla3[[#This Row],[Fecha]],Tabla1[[Día]:[P/LC/CF/CL]],5,FALSE)="LC","SI",""),"")</f>
        <v/>
      </c>
      <c r="I89" s="22">
        <f>IFERROR(Tabla3[[#This Row],[Disponibilidad]]*Tabla3[[#This Row],[Rendimiento]], IF(Tabla3[[#This Row],[LC]]="SI", 0, "No"))</f>
        <v>0.5646296296296297</v>
      </c>
      <c r="J89" s="16">
        <f>IF(Tabla3[[#This Row],[OEE]]="No","",WEEKNUM(Tabla3[[#This Row],[Fecha]]))</f>
        <v>17</v>
      </c>
      <c r="K89" s="27">
        <f>IFERROR(IF(Tabla3[[#This Row],[OEE]]&lt;&gt;"No",Tabla3[[#This Row],[OEE]]/Tabla3[[#This Row],[Disponibilidad]],""),0)</f>
        <v>0.52934027777777781</v>
      </c>
    </row>
    <row r="90" spans="1:11" x14ac:dyDescent="0.25">
      <c r="A90" s="2">
        <v>45771</v>
      </c>
      <c r="B90" s="5">
        <f>SUMIFS('paradas-disp'!F:F,'paradas-disp'!A:A,Tabla3[[#This Row],[Fecha]])</f>
        <v>0.66666666666666663</v>
      </c>
      <c r="C90">
        <v>8713</v>
      </c>
      <c r="D90" s="15">
        <f>IF(Tabla3[[#This Row],[Fecha]]&lt;53,"",IFERROR(((HOUR(Tabla3[[#This Row],[Horas]])*60+MINUTE(Tabla3[[#This Row],[Horas]]))/60)*$D$1,""))</f>
        <v>28800</v>
      </c>
      <c r="E90" s="22">
        <f>IFERROR(Tabla3[[#This Row],[Cantidad producida]]/Tabla3[[#This Row],[Cantidad teórica]],"")</f>
        <v>0.30253472222222222</v>
      </c>
      <c r="F90" s="22">
        <f>IF(Tabla3[[#This Row],[Fecha]]&lt;53,"",IFERROR(Tabla3[[#This Row],[Horas]]/$F$1,""))</f>
        <v>1.0666666666666667</v>
      </c>
      <c r="G90" s="15" t="str">
        <f>IF(Tabla3[[#This Row],[Disponibilidad]]="","",IF(Tabla3[[#This Row],[Disponibilidad]]&gt;1,"NO",""))</f>
        <v>NO</v>
      </c>
      <c r="H90" t="str">
        <f>IFERROR(IF(VLOOKUP(Tabla3[[#This Row],[Fecha]],Tabla1[[Día]:[P/LC/CF/CL]],5,FALSE)="LC","SI",""),"")</f>
        <v/>
      </c>
      <c r="I90" s="22">
        <f>IFERROR(Tabla3[[#This Row],[Disponibilidad]]*Tabla3[[#This Row],[Rendimiento]], IF(Tabla3[[#This Row],[LC]]="SI", 0, "No"))</f>
        <v>0.32270370370370371</v>
      </c>
      <c r="J90" s="16">
        <f>IF(Tabla3[[#This Row],[OEE]]="No","",WEEKNUM(Tabla3[[#This Row],[Fecha]]))</f>
        <v>17</v>
      </c>
      <c r="K90" s="27">
        <f>IFERROR(IF(Tabla3[[#This Row],[OEE]]&lt;&gt;"No",Tabla3[[#This Row],[OEE]]/Tabla3[[#This Row],[Disponibilidad]],""),0)</f>
        <v>0.30253472222222222</v>
      </c>
    </row>
    <row r="91" spans="1:11" x14ac:dyDescent="0.25">
      <c r="A91" s="2">
        <v>45772</v>
      </c>
      <c r="B91" s="5">
        <f>SUMIFS('paradas-disp'!F:F,'paradas-disp'!A:A,Tabla3[[#This Row],[Fecha]])</f>
        <v>0.40277777777777779</v>
      </c>
      <c r="C91">
        <f>7464+1203+204</f>
        <v>8871</v>
      </c>
      <c r="D91" s="15">
        <f>IF(Tabla3[[#This Row],[Fecha]]&lt;53,"",IFERROR(((HOUR(Tabla3[[#This Row],[Horas]])*60+MINUTE(Tabla3[[#This Row],[Horas]]))/60)*$D$1,""))</f>
        <v>17400</v>
      </c>
      <c r="E91" s="22">
        <f>IFERROR(Tabla3[[#This Row],[Cantidad producida]]/Tabla3[[#This Row],[Cantidad teórica]],"")</f>
        <v>0.5098275862068965</v>
      </c>
      <c r="F91" s="22">
        <f>IF(Tabla3[[#This Row],[Fecha]]&lt;53,"",IFERROR(Tabla3[[#This Row],[Horas]]/$F$1,""))</f>
        <v>0.64444444444444449</v>
      </c>
      <c r="G91" s="15" t="str">
        <f>IF(Tabla3[[#This Row],[Disponibilidad]]="","",IF(Tabla3[[#This Row],[Disponibilidad]]&gt;1,"NO",""))</f>
        <v/>
      </c>
      <c r="H91" t="str">
        <f>IFERROR(IF(VLOOKUP(Tabla3[[#This Row],[Fecha]],Tabla1[[Día]:[P/LC/CF/CL]],5,FALSE)="LC","SI",""),"")</f>
        <v/>
      </c>
      <c r="I91" s="22">
        <f>IFERROR(Tabla3[[#This Row],[Disponibilidad]]*Tabla3[[#This Row],[Rendimiento]], IF(Tabla3[[#This Row],[LC]]="SI", 0, "No"))</f>
        <v>0.32855555555555555</v>
      </c>
      <c r="J91" s="16">
        <f>IF(Tabla3[[#This Row],[OEE]]="No","",WEEKNUM(Tabla3[[#This Row],[Fecha]]))</f>
        <v>17</v>
      </c>
      <c r="K91" s="27">
        <f>IFERROR(IF(Tabla3[[#This Row],[OEE]]&lt;&gt;"No",Tabla3[[#This Row],[OEE]]/Tabla3[[#This Row],[Disponibilidad]],""),0)</f>
        <v>0.5098275862068965</v>
      </c>
    </row>
    <row r="92" spans="1:11" x14ac:dyDescent="0.25">
      <c r="A92" s="2">
        <v>45773</v>
      </c>
      <c r="B92" s="5">
        <f>SUMIFS('paradas-disp'!F:F,'paradas-disp'!A:A,Tabla3[[#This Row],[Fecha]])</f>
        <v>0</v>
      </c>
      <c r="D92" s="15">
        <f>IF(Tabla3[[#This Row],[Fecha]]&lt;53,"",IFERROR(((HOUR(Tabla3[[#This Row],[Horas]])*60+MINUTE(Tabla3[[#This Row],[Horas]]))/60)*$D$1,""))</f>
        <v>0</v>
      </c>
      <c r="E92" s="22" t="str">
        <f>IFERROR(Tabla3[[#This Row],[Cantidad producida]]/Tabla3[[#This Row],[Cantidad teórica]],"")</f>
        <v/>
      </c>
      <c r="F92" s="22">
        <f>IF(Tabla3[[#This Row],[Fecha]]&lt;53,"",IFERROR(Tabla3[[#This Row],[Horas]]/$F$1,""))</f>
        <v>0</v>
      </c>
      <c r="G92" s="15" t="str">
        <f>IF(Tabla3[[#This Row],[Disponibilidad]]="","",IF(Tabla3[[#This Row],[Disponibilidad]]&gt;1,"NO",""))</f>
        <v/>
      </c>
      <c r="H92" t="str">
        <f>IFERROR(IF(VLOOKUP(Tabla3[[#This Row],[Fecha]],Tabla1[[Día]:[P/LC/CF/CL]],5,FALSE)="LC","SI",""),"")</f>
        <v/>
      </c>
      <c r="I92" s="22" t="str">
        <f>IFERROR(Tabla3[[#This Row],[Disponibilidad]]*Tabla3[[#This Row],[Rendimiento]], IF(Tabla3[[#This Row],[LC]]="SI", 0, "No"))</f>
        <v>No</v>
      </c>
      <c r="J92" s="16" t="str">
        <f>IF(Tabla3[[#This Row],[OEE]]="No","",WEEKNUM(Tabla3[[#This Row],[Fecha]]))</f>
        <v/>
      </c>
      <c r="K92" s="27" t="str">
        <f>IFERROR(IF(Tabla3[[#This Row],[OEE]]&lt;&gt;"No",Tabla3[[#This Row],[OEE]]/Tabla3[[#This Row],[Disponibilidad]],""),0)</f>
        <v/>
      </c>
    </row>
    <row r="93" spans="1:11" x14ac:dyDescent="0.25">
      <c r="A93" s="2">
        <v>45774</v>
      </c>
      <c r="B93" s="5">
        <f>SUMIFS('paradas-disp'!F:F,'paradas-disp'!A:A,Tabla3[[#This Row],[Fecha]])</f>
        <v>0</v>
      </c>
      <c r="D93" s="15">
        <f>IF(Tabla3[[#This Row],[Fecha]]&lt;53,"",IFERROR(((HOUR(Tabla3[[#This Row],[Horas]])*60+MINUTE(Tabla3[[#This Row],[Horas]]))/60)*$D$1,""))</f>
        <v>0</v>
      </c>
      <c r="E93" s="22" t="str">
        <f>IFERROR(Tabla3[[#This Row],[Cantidad producida]]/Tabla3[[#This Row],[Cantidad teórica]],"")</f>
        <v/>
      </c>
      <c r="F93" s="22">
        <f>IF(Tabla3[[#This Row],[Fecha]]&lt;53,"",IFERROR(Tabla3[[#This Row],[Horas]]/$F$1,""))</f>
        <v>0</v>
      </c>
      <c r="G93" s="15" t="str">
        <f>IF(Tabla3[[#This Row],[Disponibilidad]]="","",IF(Tabla3[[#This Row],[Disponibilidad]]&gt;1,"NO",""))</f>
        <v/>
      </c>
      <c r="H93" t="str">
        <f>IFERROR(IF(VLOOKUP(Tabla3[[#This Row],[Fecha]],Tabla1[[Día]:[P/LC/CF/CL]],5,FALSE)="LC","SI",""),"")</f>
        <v/>
      </c>
      <c r="I93" s="22" t="str">
        <f>IFERROR(Tabla3[[#This Row],[Disponibilidad]]*Tabla3[[#This Row],[Rendimiento]], IF(Tabla3[[#This Row],[LC]]="SI", 0, "No"))</f>
        <v>No</v>
      </c>
      <c r="J93" s="16" t="str">
        <f>IF(Tabla3[[#This Row],[OEE]]="No","",WEEKNUM(Tabla3[[#This Row],[Fecha]]))</f>
        <v/>
      </c>
      <c r="K93" s="27" t="str">
        <f>IFERROR(IF(Tabla3[[#This Row],[OEE]]&lt;&gt;"No",Tabla3[[#This Row],[OEE]]/Tabla3[[#This Row],[Disponibilidad]],""),0)</f>
        <v/>
      </c>
    </row>
    <row r="94" spans="1:11" x14ac:dyDescent="0.25">
      <c r="A94" s="2">
        <v>45775</v>
      </c>
      <c r="B94" s="5">
        <f>SUMIFS('paradas-disp'!F:F,'paradas-disp'!A:A,Tabla3[[#This Row],[Fecha]])</f>
        <v>0.43750000000000006</v>
      </c>
      <c r="C94">
        <v>1792</v>
      </c>
      <c r="D94" s="15">
        <f>IF(Tabla3[[#This Row],[Fecha]]&lt;53,"",IFERROR(((HOUR(Tabla3[[#This Row],[Horas]])*60+MINUTE(Tabla3[[#This Row],[Horas]]))/60)*$D$1,""))</f>
        <v>18900</v>
      </c>
      <c r="E94" s="22">
        <f>IFERROR(Tabla3[[#This Row],[Cantidad producida]]/Tabla3[[#This Row],[Cantidad teórica]],"")</f>
        <v>9.481481481481481E-2</v>
      </c>
      <c r="F94" s="22">
        <f>IF(Tabla3[[#This Row],[Fecha]]&lt;53,"",IFERROR(Tabla3[[#This Row],[Horas]]/$F$1,""))</f>
        <v>0.70000000000000007</v>
      </c>
      <c r="G94" s="15" t="str">
        <f>IF(Tabla3[[#This Row],[Disponibilidad]]="","",IF(Tabla3[[#This Row],[Disponibilidad]]&gt;1,"NO",""))</f>
        <v/>
      </c>
      <c r="H94" t="str">
        <f>IFERROR(IF(VLOOKUP(Tabla3[[#This Row],[Fecha]],Tabla1[[Día]:[P/LC/CF/CL]],5,FALSE)="LC","SI",""),"")</f>
        <v/>
      </c>
      <c r="I94" s="22">
        <f>IFERROR(Tabla3[[#This Row],[Disponibilidad]]*Tabla3[[#This Row],[Rendimiento]], IF(Tabla3[[#This Row],[LC]]="SI", 0, "No"))</f>
        <v>6.6370370370370371E-2</v>
      </c>
      <c r="J94" s="16">
        <f>IF(Tabla3[[#This Row],[OEE]]="No","",WEEKNUM(Tabla3[[#This Row],[Fecha]]))</f>
        <v>18</v>
      </c>
      <c r="K94" s="27">
        <f>IFERROR(IF(Tabla3[[#This Row],[OEE]]&lt;&gt;"No",Tabla3[[#This Row],[OEE]]/Tabla3[[#This Row],[Disponibilidad]],""),0)</f>
        <v>9.481481481481481E-2</v>
      </c>
    </row>
    <row r="95" spans="1:11" x14ac:dyDescent="0.25">
      <c r="A95" s="2">
        <v>45776</v>
      </c>
      <c r="B95" s="5">
        <f>SUMIFS('paradas-disp'!F:F,'paradas-disp'!A:A,Tabla3[[#This Row],[Fecha]])</f>
        <v>0.30208333333333337</v>
      </c>
      <c r="C95">
        <v>11298</v>
      </c>
      <c r="D95" s="15">
        <f>IF(Tabla3[[#This Row],[Fecha]]&lt;53,"",IFERROR(((HOUR(Tabla3[[#This Row],[Horas]])*60+MINUTE(Tabla3[[#This Row],[Horas]]))/60)*$D$1,""))</f>
        <v>13050</v>
      </c>
      <c r="E95" s="22">
        <f>IFERROR(Tabla3[[#This Row],[Cantidad producida]]/Tabla3[[#This Row],[Cantidad teórica]],"")</f>
        <v>0.86574712643678164</v>
      </c>
      <c r="F95" s="22">
        <f>IF(Tabla3[[#This Row],[Fecha]]&lt;53,"",IFERROR(Tabla3[[#This Row],[Horas]]/$F$1,""))</f>
        <v>0.48333333333333339</v>
      </c>
      <c r="G95" s="15" t="str">
        <f>IF(Tabla3[[#This Row],[Disponibilidad]]="","",IF(Tabla3[[#This Row],[Disponibilidad]]&gt;1,"NO",""))</f>
        <v/>
      </c>
      <c r="H95" t="str">
        <f>IFERROR(IF(VLOOKUP(Tabla3[[#This Row],[Fecha]],Tabla1[[Día]:[P/LC/CF/CL]],5,FALSE)="LC","SI",""),"")</f>
        <v/>
      </c>
      <c r="I95" s="22">
        <f>IFERROR(Tabla3[[#This Row],[Disponibilidad]]*Tabla3[[#This Row],[Rendimiento]], IF(Tabla3[[#This Row],[LC]]="SI", 0, "No"))</f>
        <v>0.41844444444444451</v>
      </c>
      <c r="J95" s="16">
        <f>IF(Tabla3[[#This Row],[OEE]]="No","",WEEKNUM(Tabla3[[#This Row],[Fecha]]))</f>
        <v>18</v>
      </c>
      <c r="K95" s="27">
        <f>IFERROR(IF(Tabla3[[#This Row],[OEE]]&lt;&gt;"No",Tabla3[[#This Row],[OEE]]/Tabla3[[#This Row],[Disponibilidad]],""),0)</f>
        <v>0.86574712643678164</v>
      </c>
    </row>
    <row r="96" spans="1:11" x14ac:dyDescent="0.25">
      <c r="A96" s="2">
        <v>45777</v>
      </c>
      <c r="B96" s="5">
        <f>SUMIFS('paradas-disp'!F:F,'paradas-disp'!A:A,Tabla3[[#This Row],[Fecha]])</f>
        <v>0.4826388888888889</v>
      </c>
      <c r="C96">
        <v>5602</v>
      </c>
      <c r="D96" s="15">
        <f>IF(Tabla3[[#This Row],[Fecha]]&lt;53,"",IFERROR(((HOUR(Tabla3[[#This Row],[Horas]])*60+MINUTE(Tabla3[[#This Row],[Horas]]))/60)*$D$1,""))</f>
        <v>20850</v>
      </c>
      <c r="E96" s="22">
        <f>IFERROR(Tabla3[[#This Row],[Cantidad producida]]/Tabla3[[#This Row],[Cantidad teórica]],"")</f>
        <v>0.26868105515587531</v>
      </c>
      <c r="F96" s="22">
        <f>IF(Tabla3[[#This Row],[Fecha]]&lt;53,"",IFERROR(Tabla3[[#This Row],[Horas]]/$F$1,""))</f>
        <v>0.77222222222222225</v>
      </c>
      <c r="G96" s="15" t="str">
        <f>IF(Tabla3[[#This Row],[Disponibilidad]]="","",IF(Tabla3[[#This Row],[Disponibilidad]]&gt;1,"NO",""))</f>
        <v/>
      </c>
      <c r="H96" t="str">
        <f>IFERROR(IF(VLOOKUP(Tabla3[[#This Row],[Fecha]],Tabla1[[Día]:[P/LC/CF/CL]],5,FALSE)="LC","SI",""),"")</f>
        <v/>
      </c>
      <c r="I96" s="22">
        <f>IFERROR(Tabla3[[#This Row],[Disponibilidad]]*Tabla3[[#This Row],[Rendimiento]], IF(Tabla3[[#This Row],[LC]]="SI", 0, "No"))</f>
        <v>0.20748148148148149</v>
      </c>
      <c r="J96" s="16">
        <f>IF(Tabla3[[#This Row],[OEE]]="No","",WEEKNUM(Tabla3[[#This Row],[Fecha]]))</f>
        <v>18</v>
      </c>
      <c r="K96" s="27">
        <f>IFERROR(IF(Tabla3[[#This Row],[OEE]]&lt;&gt;"No",Tabla3[[#This Row],[OEE]]/Tabla3[[#This Row],[Disponibilidad]],""),0)</f>
        <v>0.26868105515587531</v>
      </c>
    </row>
    <row r="97" spans="1:11" x14ac:dyDescent="0.25">
      <c r="A97" s="2">
        <v>45778</v>
      </c>
      <c r="B97" s="5">
        <f>SUMIFS('paradas-disp'!F:F,'paradas-disp'!A:A,Tabla3[[#This Row],[Fecha]])</f>
        <v>0</v>
      </c>
      <c r="D97" s="15">
        <f>IF(Tabla3[[#This Row],[Fecha]]&lt;53,"",IFERROR(((HOUR(Tabla3[[#This Row],[Horas]])*60+MINUTE(Tabla3[[#This Row],[Horas]]))/60)*$D$1,""))</f>
        <v>0</v>
      </c>
      <c r="E97" s="22" t="str">
        <f>IFERROR(Tabla3[[#This Row],[Cantidad producida]]/Tabla3[[#This Row],[Cantidad teórica]],"")</f>
        <v/>
      </c>
      <c r="F97" s="22">
        <f>IF(Tabla3[[#This Row],[Fecha]]&lt;53,"",IFERROR(Tabla3[[#This Row],[Horas]]/$F$1,""))</f>
        <v>0</v>
      </c>
      <c r="G97" s="15" t="str">
        <f>IF(Tabla3[[#This Row],[Disponibilidad]]="","",IF(Tabla3[[#This Row],[Disponibilidad]]&gt;1,"NO",""))</f>
        <v/>
      </c>
      <c r="H97" t="str">
        <f>IFERROR(IF(VLOOKUP(Tabla3[[#This Row],[Fecha]],Tabla1[[Día]:[P/LC/CF/CL]],5,FALSE)="LC","SI",""),"")</f>
        <v/>
      </c>
      <c r="I97" s="22" t="str">
        <f>IFERROR(Tabla3[[#This Row],[Disponibilidad]]*Tabla3[[#This Row],[Rendimiento]], IF(Tabla3[[#This Row],[LC]]="SI", 0, "No"))</f>
        <v>No</v>
      </c>
      <c r="J97" s="16" t="str">
        <f>IF(Tabla3[[#This Row],[OEE]]="No","",WEEKNUM(Tabla3[[#This Row],[Fecha]]))</f>
        <v/>
      </c>
      <c r="K97" s="27" t="str">
        <f>IFERROR(IF(Tabla3[[#This Row],[OEE]]&lt;&gt;"No",Tabla3[[#This Row],[OEE]]/Tabla3[[#This Row],[Disponibilidad]],""),0)</f>
        <v/>
      </c>
    </row>
    <row r="98" spans="1:11" x14ac:dyDescent="0.25">
      <c r="A98" s="2">
        <v>45779</v>
      </c>
      <c r="B98" s="5">
        <f>SUMIFS('paradas-disp'!F:F,'paradas-disp'!A:A,Tabla3[[#This Row],[Fecha]])</f>
        <v>0.24652777777777773</v>
      </c>
      <c r="C98">
        <f>2208+4974</f>
        <v>7182</v>
      </c>
      <c r="D98" s="15">
        <f>IF(Tabla3[[#This Row],[Fecha]]&lt;53,"",IFERROR(((HOUR(Tabla3[[#This Row],[Horas]])*60+MINUTE(Tabla3[[#This Row],[Horas]]))/60)*$D$1,""))</f>
        <v>10650</v>
      </c>
      <c r="E98" s="22">
        <f>IFERROR(Tabla3[[#This Row],[Cantidad producida]]/Tabla3[[#This Row],[Cantidad teórica]],"")</f>
        <v>0.67436619718309854</v>
      </c>
      <c r="F98" s="22">
        <f>39*2%</f>
        <v>0.78</v>
      </c>
      <c r="G98" s="15" t="str">
        <f>IF(Tabla3[[#This Row],[Disponibilidad]]="","",IF(Tabla3[[#This Row],[Disponibilidad]]&gt;1,"NO",""))</f>
        <v/>
      </c>
      <c r="H98" t="str">
        <f>IFERROR(IF(VLOOKUP(Tabla3[[#This Row],[Fecha]],Tabla1[[Día]:[P/LC/CF/CL]],5,FALSE)="LC","SI",""),"")</f>
        <v/>
      </c>
      <c r="I98" s="22">
        <f>IFERROR(Tabla3[[#This Row],[Disponibilidad]]*Tabla3[[#This Row],[Rendimiento]], IF(Tabla3[[#This Row],[LC]]="SI", 0, "No"))</f>
        <v>0.52600563380281684</v>
      </c>
      <c r="J98" s="16">
        <f>IF(Tabla3[[#This Row],[OEE]]="No","",WEEKNUM(Tabla3[[#This Row],[Fecha]]))</f>
        <v>18</v>
      </c>
      <c r="K98" s="27">
        <f>IFERROR(IF(Tabla3[[#This Row],[OEE]]&lt;&gt;"No",Tabla3[[#This Row],[OEE]]/Tabla3[[#This Row],[Disponibilidad]],""),0)</f>
        <v>0.67436619718309854</v>
      </c>
    </row>
    <row r="99" spans="1:11" x14ac:dyDescent="0.25">
      <c r="A99" s="2">
        <v>45780</v>
      </c>
      <c r="B99" s="5">
        <f>SUMIFS('paradas-disp'!F:F,'paradas-disp'!A:A,Tabla3[[#This Row],[Fecha]])</f>
        <v>0</v>
      </c>
      <c r="D99" s="15">
        <f>IF(Tabla3[[#This Row],[Fecha]]&lt;53,"",IFERROR(((HOUR(Tabla3[[#This Row],[Horas]])*60+MINUTE(Tabla3[[#This Row],[Horas]]))/60)*$D$1,""))</f>
        <v>0</v>
      </c>
      <c r="E99" s="22" t="str">
        <f>IFERROR(Tabla3[[#This Row],[Cantidad producida]]/Tabla3[[#This Row],[Cantidad teórica]],"")</f>
        <v/>
      </c>
      <c r="F99" s="22">
        <f>IF(Tabla3[[#This Row],[Fecha]]&lt;53,"",IFERROR(Tabla3[[#This Row],[Horas]]/$F$1,""))</f>
        <v>0</v>
      </c>
      <c r="G99" s="15" t="str">
        <f>IF(Tabla3[[#This Row],[Disponibilidad]]="","",IF(Tabla3[[#This Row],[Disponibilidad]]&gt;1,"NO",""))</f>
        <v/>
      </c>
      <c r="H99" t="str">
        <f>IFERROR(IF(VLOOKUP(Tabla3[[#This Row],[Fecha]],Tabla1[[Día]:[P/LC/CF/CL]],5,FALSE)="LC","SI",""),"")</f>
        <v/>
      </c>
      <c r="I99" s="22" t="str">
        <f>IFERROR(Tabla3[[#This Row],[Disponibilidad]]*Tabla3[[#This Row],[Rendimiento]], IF(Tabla3[[#This Row],[LC]]="SI", 0, "No"))</f>
        <v>No</v>
      </c>
      <c r="J99" s="16" t="str">
        <f>IF(Tabla3[[#This Row],[OEE]]="No","",WEEKNUM(Tabla3[[#This Row],[Fecha]]))</f>
        <v/>
      </c>
      <c r="K99" s="27" t="str">
        <f>IFERROR(IF(Tabla3[[#This Row],[OEE]]&lt;&gt;"No",Tabla3[[#This Row],[OEE]]/Tabla3[[#This Row],[Disponibilidad]],""),0)</f>
        <v/>
      </c>
    </row>
    <row r="100" spans="1:11" x14ac:dyDescent="0.25">
      <c r="A100" s="2">
        <v>45781</v>
      </c>
      <c r="B100" s="5">
        <f>SUMIFS('paradas-disp'!F:F,'paradas-disp'!A:A,Tabla3[[#This Row],[Fecha]])</f>
        <v>0</v>
      </c>
      <c r="D100" s="15">
        <f>IF(Tabla3[[#This Row],[Fecha]]&lt;53,"",IFERROR(((HOUR(Tabla3[[#This Row],[Horas]])*60+MINUTE(Tabla3[[#This Row],[Horas]]))/60)*$D$1,""))</f>
        <v>0</v>
      </c>
      <c r="E100" s="22" t="str">
        <f>IFERROR(Tabla3[[#This Row],[Cantidad producida]]/Tabla3[[#This Row],[Cantidad teórica]],"")</f>
        <v/>
      </c>
      <c r="F100" s="22">
        <f>IF(Tabla3[[#This Row],[Fecha]]&lt;53,"",IFERROR(Tabla3[[#This Row],[Horas]]/$F$1,""))</f>
        <v>0</v>
      </c>
      <c r="G100" s="15" t="str">
        <f>IF(Tabla3[[#This Row],[Disponibilidad]]="","",IF(Tabla3[[#This Row],[Disponibilidad]]&gt;1,"NO",""))</f>
        <v/>
      </c>
      <c r="H100" t="str">
        <f>IFERROR(IF(VLOOKUP(Tabla3[[#This Row],[Fecha]],Tabla1[[Día]:[P/LC/CF/CL]],5,FALSE)="LC","SI",""),"")</f>
        <v/>
      </c>
      <c r="I100" s="22" t="str">
        <f>IFERROR(Tabla3[[#This Row],[Disponibilidad]]*Tabla3[[#This Row],[Rendimiento]], IF(Tabla3[[#This Row],[LC]]="SI", 0, "No"))</f>
        <v>No</v>
      </c>
      <c r="J100" s="16" t="str">
        <f>IF(Tabla3[[#This Row],[OEE]]="No","",WEEKNUM(Tabla3[[#This Row],[Fecha]]))</f>
        <v/>
      </c>
      <c r="K100" s="27" t="str">
        <f>IFERROR(IF(Tabla3[[#This Row],[OEE]]&lt;&gt;"No",Tabla3[[#This Row],[OEE]]/Tabla3[[#This Row],[Disponibilidad]],""),0)</f>
        <v/>
      </c>
    </row>
    <row r="101" spans="1:11" x14ac:dyDescent="0.25">
      <c r="A101" s="2">
        <v>45782</v>
      </c>
      <c r="B101" s="5">
        <f>SUMIFS('paradas-disp'!F:F,'paradas-disp'!A:A,Tabla3[[#This Row],[Fecha]])</f>
        <v>0.53125</v>
      </c>
      <c r="C101">
        <v>9390</v>
      </c>
      <c r="D101" s="15">
        <f>IF(Tabla3[[#This Row],[Fecha]]&lt;53,"",IFERROR(((HOUR(Tabla3[[#This Row],[Horas]])*60+MINUTE(Tabla3[[#This Row],[Horas]]))/60)*$D$1,""))</f>
        <v>22950</v>
      </c>
      <c r="E101" s="22">
        <f>IFERROR(Tabla3[[#This Row],[Cantidad producida]]/Tabla3[[#This Row],[Cantidad teórica]],"")</f>
        <v>0.40915032679738561</v>
      </c>
      <c r="F101" s="22">
        <f>IF(Tabla3[[#This Row],[Fecha]]&lt;53,"",IFERROR(Tabla3[[#This Row],[Horas]]/$F$1,""))</f>
        <v>0.85</v>
      </c>
      <c r="G101" s="15" t="str">
        <f>IF(Tabla3[[#This Row],[Disponibilidad]]="","",IF(Tabla3[[#This Row],[Disponibilidad]]&gt;1,"NO",""))</f>
        <v/>
      </c>
      <c r="H101" t="str">
        <f>IFERROR(IF(VLOOKUP(Tabla3[[#This Row],[Fecha]],Tabla1[[Día]:[P/LC/CF/CL]],5,FALSE)="LC","SI",""),"")</f>
        <v/>
      </c>
      <c r="I101" s="22">
        <f>IFERROR(Tabla3[[#This Row],[Disponibilidad]]*Tabla3[[#This Row],[Rendimiento]], IF(Tabla3[[#This Row],[LC]]="SI", 0, "No"))</f>
        <v>0.34777777777777774</v>
      </c>
      <c r="J101" s="16">
        <f>IF(Tabla3[[#This Row],[OEE]]="No","",WEEKNUM(Tabla3[[#This Row],[Fecha]]))</f>
        <v>19</v>
      </c>
      <c r="K101" s="27">
        <f>IFERROR(IF(Tabla3[[#This Row],[OEE]]&lt;&gt;"No",Tabla3[[#This Row],[OEE]]/Tabla3[[#This Row],[Disponibilidad]],""),0)</f>
        <v>0.40915032679738561</v>
      </c>
    </row>
    <row r="102" spans="1:11" x14ac:dyDescent="0.25">
      <c r="A102" s="2">
        <v>45783</v>
      </c>
      <c r="B102" s="5">
        <f>SUMIFS('paradas-disp'!F:F,'paradas-disp'!A:A,Tabla3[[#This Row],[Fecha]])</f>
        <v>0.31250000000000006</v>
      </c>
      <c r="C102">
        <v>11034</v>
      </c>
      <c r="D102" s="15">
        <f>IF(Tabla3[[#This Row],[Fecha]]&lt;53,"",IFERROR(((HOUR(Tabla3[[#This Row],[Horas]])*60+MINUTE(Tabla3[[#This Row],[Horas]]))/60)*$D$1,""))</f>
        <v>13500</v>
      </c>
      <c r="E102" s="22">
        <f>IFERROR(Tabla3[[#This Row],[Cantidad producida]]/Tabla3[[#This Row],[Cantidad teórica]],"")</f>
        <v>0.81733333333333336</v>
      </c>
      <c r="F102" s="22">
        <f>IF(Tabla3[[#This Row],[Fecha]]&lt;53,"",IFERROR(Tabla3[[#This Row],[Horas]]/$F$1,""))</f>
        <v>0.50000000000000011</v>
      </c>
      <c r="G102" s="15" t="str">
        <f>IF(Tabla3[[#This Row],[Disponibilidad]]="","",IF(Tabla3[[#This Row],[Disponibilidad]]&gt;1,"NO",""))</f>
        <v/>
      </c>
      <c r="H102" t="str">
        <f>IFERROR(IF(VLOOKUP(Tabla3[[#This Row],[Fecha]],Tabla1[[Día]:[P/LC/CF/CL]],5,FALSE)="LC","SI",""),"")</f>
        <v/>
      </c>
      <c r="I102" s="22">
        <f>IFERROR(Tabla3[[#This Row],[Disponibilidad]]*Tabla3[[#This Row],[Rendimiento]], IF(Tabla3[[#This Row],[LC]]="SI", 0, "No"))</f>
        <v>0.40866666666666679</v>
      </c>
      <c r="J102" s="16">
        <f>IF(Tabla3[[#This Row],[OEE]]="No","",WEEKNUM(Tabla3[[#This Row],[Fecha]]))</f>
        <v>19</v>
      </c>
      <c r="K102" s="27">
        <f>IFERROR(IF(Tabla3[[#This Row],[OEE]]&lt;&gt;"No",Tabla3[[#This Row],[OEE]]/Tabla3[[#This Row],[Disponibilidad]],""),0)</f>
        <v>0.81733333333333336</v>
      </c>
    </row>
    <row r="103" spans="1:11" x14ac:dyDescent="0.25">
      <c r="A103" s="2">
        <v>45784</v>
      </c>
      <c r="B103" s="5">
        <f>SUMIFS('paradas-disp'!F:F,'paradas-disp'!A:A,Tabla3[[#This Row],[Fecha]])</f>
        <v>0.56944444444444453</v>
      </c>
      <c r="C103">
        <v>12306</v>
      </c>
      <c r="D103" s="15">
        <f>IF(Tabla3[[#This Row],[Fecha]]&lt;53,"",IFERROR(((HOUR(Tabla3[[#This Row],[Horas]])*60+MINUTE(Tabla3[[#This Row],[Horas]]))/60)*$D$1,""))</f>
        <v>24600</v>
      </c>
      <c r="E103" s="22">
        <f>IFERROR(Tabla3[[#This Row],[Cantidad producida]]/Tabla3[[#This Row],[Cantidad teórica]],"")</f>
        <v>0.50024390243902439</v>
      </c>
      <c r="F103" s="22">
        <f>IF(Tabla3[[#This Row],[Fecha]]&lt;53,"",IFERROR(Tabla3[[#This Row],[Horas]]/$F$1,""))</f>
        <v>0.9111111111111112</v>
      </c>
      <c r="G103" s="15" t="str">
        <f>IF(Tabla3[[#This Row],[Disponibilidad]]="","",IF(Tabla3[[#This Row],[Disponibilidad]]&gt;1,"NO",""))</f>
        <v/>
      </c>
      <c r="H103" t="str">
        <f>IFERROR(IF(VLOOKUP(Tabla3[[#This Row],[Fecha]],Tabla1[[Día]:[P/LC/CF/CL]],5,FALSE)="LC","SI",""),"")</f>
        <v/>
      </c>
      <c r="I103" s="22">
        <f>IFERROR(Tabla3[[#This Row],[Disponibilidad]]*Tabla3[[#This Row],[Rendimiento]], IF(Tabla3[[#This Row],[LC]]="SI", 0, "No"))</f>
        <v>0.45577777777777784</v>
      </c>
      <c r="J103" s="16">
        <f>IF(Tabla3[[#This Row],[OEE]]="No","",WEEKNUM(Tabla3[[#This Row],[Fecha]]))</f>
        <v>19</v>
      </c>
      <c r="K103" s="27">
        <f>IFERROR(IF(Tabla3[[#This Row],[OEE]]&lt;&gt;"No",Tabla3[[#This Row],[OEE]]/Tabla3[[#This Row],[Disponibilidad]],""),0)</f>
        <v>0.50024390243902439</v>
      </c>
    </row>
    <row r="104" spans="1:11" x14ac:dyDescent="0.25">
      <c r="A104" s="2">
        <v>45785</v>
      </c>
      <c r="B104" s="5">
        <f>SUMIFS('paradas-disp'!F:F,'paradas-disp'!A:A,Tabla3[[#This Row],[Fecha]])</f>
        <v>0.40972222222222215</v>
      </c>
      <c r="C104">
        <v>9441</v>
      </c>
      <c r="D104" s="15">
        <f>IF(Tabla3[[#This Row],[Fecha]]&lt;53,"",IFERROR(((HOUR(Tabla3[[#This Row],[Horas]])*60+MINUTE(Tabla3[[#This Row],[Horas]]))/60)*$D$1,""))</f>
        <v>17700</v>
      </c>
      <c r="E104" s="22">
        <f>IFERROR(Tabla3[[#This Row],[Cantidad producida]]/Tabla3[[#This Row],[Cantidad teórica]],"")</f>
        <v>0.53338983050847455</v>
      </c>
      <c r="F104" s="22">
        <f>IF(Tabla3[[#This Row],[Fecha]]&lt;53,"",IFERROR(Tabla3[[#This Row],[Horas]]/$F$1,""))</f>
        <v>0.65555555555555545</v>
      </c>
      <c r="G104" s="15" t="str">
        <f>IF(Tabla3[[#This Row],[Disponibilidad]]="","",IF(Tabla3[[#This Row],[Disponibilidad]]&gt;1,"NO",""))</f>
        <v/>
      </c>
      <c r="H104" t="str">
        <f>IFERROR(IF(VLOOKUP(Tabla3[[#This Row],[Fecha]],Tabla1[[Día]:[P/LC/CF/CL]],5,FALSE)="LC","SI",""),"")</f>
        <v/>
      </c>
      <c r="I104" s="22">
        <f>IFERROR(Tabla3[[#This Row],[Disponibilidad]]*Tabla3[[#This Row],[Rendimiento]], IF(Tabla3[[#This Row],[LC]]="SI", 0, "No"))</f>
        <v>0.34966666666666657</v>
      </c>
      <c r="J104" s="16">
        <f>IF(Tabla3[[#This Row],[OEE]]="No","",WEEKNUM(Tabla3[[#This Row],[Fecha]]))</f>
        <v>19</v>
      </c>
      <c r="K104" s="27">
        <f>IFERROR(IF(Tabla3[[#This Row],[OEE]]&lt;&gt;"No",Tabla3[[#This Row],[OEE]]/Tabla3[[#This Row],[Disponibilidad]],""),0)</f>
        <v>0.53338983050847455</v>
      </c>
    </row>
    <row r="105" spans="1:11" x14ac:dyDescent="0.25">
      <c r="A105" s="2">
        <v>45786</v>
      </c>
      <c r="B105" s="5">
        <f>SUMIFS('paradas-disp'!F:F,'paradas-disp'!A:A,Tabla3[[#This Row],[Fecha]])</f>
        <v>0.27083333333333337</v>
      </c>
      <c r="C105">
        <v>6338</v>
      </c>
      <c r="D105" s="15">
        <f>IF(Tabla3[[#This Row],[Fecha]]&lt;53,"",IFERROR(((HOUR(Tabla3[[#This Row],[Horas]])*60+MINUTE(Tabla3[[#This Row],[Horas]]))/60)*$D$1,""))</f>
        <v>11700</v>
      </c>
      <c r="E105" s="22">
        <f>IFERROR(Tabla3[[#This Row],[Cantidad producida]]/Tabla3[[#This Row],[Cantidad teórica]],"")</f>
        <v>0.54170940170940174</v>
      </c>
      <c r="F105" s="22">
        <f>IF(Tabla3[[#This Row],[Fecha]]&lt;53,"",IFERROR(Tabla3[[#This Row],[Horas]]/$F$1,""))</f>
        <v>0.4333333333333334</v>
      </c>
      <c r="G105" s="15" t="str">
        <f>IF(Tabla3[[#This Row],[Disponibilidad]]="","",IF(Tabla3[[#This Row],[Disponibilidad]]&gt;1,"NO",""))</f>
        <v/>
      </c>
      <c r="H105" t="str">
        <f>IFERROR(IF(VLOOKUP(Tabla3[[#This Row],[Fecha]],Tabla1[[Día]:[P/LC/CF/CL]],5,FALSE)="LC","SI",""),"")</f>
        <v/>
      </c>
      <c r="I105" s="22">
        <f>IFERROR(Tabla3[[#This Row],[Disponibilidad]]*Tabla3[[#This Row],[Rendimiento]], IF(Tabla3[[#This Row],[LC]]="SI", 0, "No"))</f>
        <v>0.23474074074074081</v>
      </c>
      <c r="J105" s="16">
        <f>IF(Tabla3[[#This Row],[OEE]]="No","",WEEKNUM(Tabla3[[#This Row],[Fecha]]))</f>
        <v>19</v>
      </c>
      <c r="K105" s="27">
        <f>IFERROR(IF(Tabla3[[#This Row],[OEE]]&lt;&gt;"No",Tabla3[[#This Row],[OEE]]/Tabla3[[#This Row],[Disponibilidad]],""),0)</f>
        <v>0.54170940170940174</v>
      </c>
    </row>
    <row r="106" spans="1:11" x14ac:dyDescent="0.25">
      <c r="A106" s="2">
        <v>45787</v>
      </c>
      <c r="B106" s="5">
        <f>SUMIFS('paradas-disp'!F:F,'paradas-disp'!A:A,Tabla3[[#This Row],[Fecha]])</f>
        <v>0</v>
      </c>
      <c r="D106" s="15">
        <f>IF(Tabla3[[#This Row],[Fecha]]&lt;53,"",IFERROR(((HOUR(Tabla3[[#This Row],[Horas]])*60+MINUTE(Tabla3[[#This Row],[Horas]]))/60)*$D$1,""))</f>
        <v>0</v>
      </c>
      <c r="E106" s="22" t="str">
        <f>IFERROR(Tabla3[[#This Row],[Cantidad producida]]/Tabla3[[#This Row],[Cantidad teórica]],"")</f>
        <v/>
      </c>
      <c r="F106" s="22">
        <f>IF(Tabla3[[#This Row],[Fecha]]&lt;53,"",IFERROR(Tabla3[[#This Row],[Horas]]/$F$1,""))</f>
        <v>0</v>
      </c>
      <c r="G106" s="15" t="str">
        <f>IF(Tabla3[[#This Row],[Disponibilidad]]="","",IF(Tabla3[[#This Row],[Disponibilidad]]&gt;1,"NO",""))</f>
        <v/>
      </c>
      <c r="H106" t="str">
        <f>IFERROR(IF(VLOOKUP(Tabla3[[#This Row],[Fecha]],Tabla1[[Día]:[P/LC/CF/CL]],5,FALSE)="LC","SI",""),"")</f>
        <v/>
      </c>
      <c r="I106" s="22" t="str">
        <f>IFERROR(Tabla3[[#This Row],[Disponibilidad]]*Tabla3[[#This Row],[Rendimiento]], IF(Tabla3[[#This Row],[LC]]="SI", 0, "No"))</f>
        <v>No</v>
      </c>
      <c r="J106" s="16" t="str">
        <f>IF(Tabla3[[#This Row],[OEE]]="No","",WEEKNUM(Tabla3[[#This Row],[Fecha]]))</f>
        <v/>
      </c>
      <c r="K106" s="27" t="str">
        <f>IFERROR(IF(Tabla3[[#This Row],[OEE]]&lt;&gt;"No",Tabla3[[#This Row],[OEE]]/Tabla3[[#This Row],[Disponibilidad]],""),0)</f>
        <v/>
      </c>
    </row>
    <row r="107" spans="1:11" x14ac:dyDescent="0.25">
      <c r="A107" s="2">
        <v>45788</v>
      </c>
      <c r="B107" s="5">
        <f>SUMIFS('paradas-disp'!F:F,'paradas-disp'!A:A,Tabla3[[#This Row],[Fecha]])</f>
        <v>0</v>
      </c>
      <c r="D107" s="15">
        <f>IF(Tabla3[[#This Row],[Fecha]]&lt;53,"",IFERROR(((HOUR(Tabla3[[#This Row],[Horas]])*60+MINUTE(Tabla3[[#This Row],[Horas]]))/60)*$D$1,""))</f>
        <v>0</v>
      </c>
      <c r="E107" s="22" t="str">
        <f>IFERROR(Tabla3[[#This Row],[Cantidad producida]]/Tabla3[[#This Row],[Cantidad teórica]],"")</f>
        <v/>
      </c>
      <c r="F107" s="22">
        <f>IF(Tabla3[[#This Row],[Fecha]]&lt;53,"",IFERROR(Tabla3[[#This Row],[Horas]]/$F$1,""))</f>
        <v>0</v>
      </c>
      <c r="G107" s="15" t="str">
        <f>IF(Tabla3[[#This Row],[Disponibilidad]]="","",IF(Tabla3[[#This Row],[Disponibilidad]]&gt;1,"NO",""))</f>
        <v/>
      </c>
      <c r="H107" t="str">
        <f>IFERROR(IF(VLOOKUP(Tabla3[[#This Row],[Fecha]],Tabla1[[Día]:[P/LC/CF/CL]],5,FALSE)="LC","SI",""),"")</f>
        <v/>
      </c>
      <c r="I107" s="22" t="str">
        <f>IFERROR(Tabla3[[#This Row],[Disponibilidad]]*Tabla3[[#This Row],[Rendimiento]], IF(Tabla3[[#This Row],[LC]]="SI", 0, "No"))</f>
        <v>No</v>
      </c>
      <c r="J107" s="16" t="str">
        <f>IF(Tabla3[[#This Row],[OEE]]="No","",WEEKNUM(Tabla3[[#This Row],[Fecha]]))</f>
        <v/>
      </c>
      <c r="K107" s="27" t="str">
        <f>IFERROR(IF(Tabla3[[#This Row],[OEE]]&lt;&gt;"No",Tabla3[[#This Row],[OEE]]/Tabla3[[#This Row],[Disponibilidad]],""),0)</f>
        <v/>
      </c>
    </row>
    <row r="108" spans="1:11" x14ac:dyDescent="0.25">
      <c r="A108" s="2">
        <v>45789</v>
      </c>
      <c r="B108" s="5">
        <f>SUMIFS('paradas-disp'!F:F,'paradas-disp'!A:A,Tabla3[[#This Row],[Fecha]])</f>
        <v>0.34375000000000011</v>
      </c>
      <c r="C108">
        <v>12678</v>
      </c>
      <c r="D108" s="15">
        <f>IF(Tabla3[[#This Row],[Fecha]]&lt;53,"",IFERROR(((HOUR(Tabla3[[#This Row],[Horas]])*60+MINUTE(Tabla3[[#This Row],[Horas]]))/60)*$D$1,""))</f>
        <v>14850</v>
      </c>
      <c r="E108" s="22">
        <f>IFERROR(Tabla3[[#This Row],[Cantidad producida]]/Tabla3[[#This Row],[Cantidad teórica]],"")</f>
        <v>0.85373737373737368</v>
      </c>
      <c r="F108" s="22">
        <f>IF(Tabla3[[#This Row],[Fecha]]&lt;53,"",IFERROR(Tabla3[[#This Row],[Horas]]/$F$1,""))</f>
        <v>0.55000000000000016</v>
      </c>
      <c r="G108" s="15" t="str">
        <f>IF(Tabla3[[#This Row],[Disponibilidad]]="","",IF(Tabla3[[#This Row],[Disponibilidad]]&gt;1,"NO",""))</f>
        <v/>
      </c>
      <c r="H108" t="str">
        <f>IFERROR(IF(VLOOKUP(Tabla3[[#This Row],[Fecha]],Tabla1[[Día]:[P/LC/CF/CL]],5,FALSE)="LC","SI",""),"")</f>
        <v/>
      </c>
      <c r="I108" s="22">
        <f>IFERROR(Tabla3[[#This Row],[Disponibilidad]]*Tabla3[[#This Row],[Rendimiento]], IF(Tabla3[[#This Row],[LC]]="SI", 0, "No"))</f>
        <v>0.46955555555555567</v>
      </c>
      <c r="J108" s="16">
        <f>IF(Tabla3[[#This Row],[OEE]]="No","",WEEKNUM(Tabla3[[#This Row],[Fecha]]))</f>
        <v>20</v>
      </c>
      <c r="K108" s="27">
        <f>IFERROR(IF(Tabla3[[#This Row],[OEE]]&lt;&gt;"No",Tabla3[[#This Row],[OEE]]/Tabla3[[#This Row],[Disponibilidad]],""),0)</f>
        <v>0.85373737373737368</v>
      </c>
    </row>
    <row r="109" spans="1:11" x14ac:dyDescent="0.25">
      <c r="A109" s="2">
        <v>45790</v>
      </c>
      <c r="B109" s="5">
        <f>SUMIFS('paradas-disp'!F:F,'paradas-disp'!A:A,Tabla3[[#This Row],[Fecha]])</f>
        <v>0.57986111111111116</v>
      </c>
      <c r="C109">
        <v>19080</v>
      </c>
      <c r="D109" s="15">
        <f>IF(Tabla3[[#This Row],[Fecha]]&lt;53,"",IFERROR(((HOUR(Tabla3[[#This Row],[Horas]])*60+MINUTE(Tabla3[[#This Row],[Horas]]))/60)*$D$1,""))</f>
        <v>25050</v>
      </c>
      <c r="E109" s="22">
        <f>IFERROR(Tabla3[[#This Row],[Cantidad producida]]/Tabla3[[#This Row],[Cantidad teórica]],"")</f>
        <v>0.76167664670658686</v>
      </c>
      <c r="F109" s="22">
        <f>IF(Tabla3[[#This Row],[Fecha]]&lt;53,"",IFERROR(Tabla3[[#This Row],[Horas]]/$F$1,""))</f>
        <v>0.92777777777777781</v>
      </c>
      <c r="G109" s="15" t="str">
        <f>IF(Tabla3[[#This Row],[Disponibilidad]]="","",IF(Tabla3[[#This Row],[Disponibilidad]]&gt;1,"NO",""))</f>
        <v/>
      </c>
      <c r="H109" t="str">
        <f>IFERROR(IF(VLOOKUP(Tabla3[[#This Row],[Fecha]],Tabla1[[Día]:[P/LC/CF/CL]],5,FALSE)="LC","SI",""),"")</f>
        <v/>
      </c>
      <c r="I109" s="22">
        <f>IFERROR(Tabla3[[#This Row],[Disponibilidad]]*Tabla3[[#This Row],[Rendimiento]], IF(Tabla3[[#This Row],[LC]]="SI", 0, "No"))</f>
        <v>0.70666666666666678</v>
      </c>
      <c r="J109" s="16">
        <f>IF(Tabla3[[#This Row],[OEE]]="No","",WEEKNUM(Tabla3[[#This Row],[Fecha]]))</f>
        <v>20</v>
      </c>
      <c r="K109" s="27">
        <f>IFERROR(IF(Tabla3[[#This Row],[OEE]]&lt;&gt;"No",Tabla3[[#This Row],[OEE]]/Tabla3[[#This Row],[Disponibilidad]],""),0)</f>
        <v>0.76167664670658697</v>
      </c>
    </row>
    <row r="110" spans="1:11" x14ac:dyDescent="0.25">
      <c r="A110" s="2">
        <v>45791</v>
      </c>
      <c r="B110" s="5">
        <f>SUMIFS('paradas-disp'!F:F,'paradas-disp'!A:A,Tabla3[[#This Row],[Fecha]])</f>
        <v>0.5347222222222221</v>
      </c>
      <c r="C110">
        <v>22942</v>
      </c>
      <c r="D110" s="15">
        <f>IF(Tabla3[[#This Row],[Fecha]]&lt;53,"",IFERROR(((HOUR(Tabla3[[#This Row],[Horas]])*60+MINUTE(Tabla3[[#This Row],[Horas]]))/60)*$D$1,""))</f>
        <v>23100</v>
      </c>
      <c r="E110" s="22">
        <f>IFERROR(Tabla3[[#This Row],[Cantidad producida]]/Tabla3[[#This Row],[Cantidad teórica]],"")</f>
        <v>0.99316017316017313</v>
      </c>
      <c r="F110" s="22">
        <f>IF(Tabla3[[#This Row],[Fecha]]&lt;53,"",IFERROR(Tabla3[[#This Row],[Horas]]/$F$1,""))</f>
        <v>0.8555555555555554</v>
      </c>
      <c r="G110" s="15" t="str">
        <f>IF(Tabla3[[#This Row],[Disponibilidad]]="","",IF(Tabla3[[#This Row],[Disponibilidad]]&gt;1,"NO",""))</f>
        <v/>
      </c>
      <c r="H110" t="str">
        <f>IFERROR(IF(VLOOKUP(Tabla3[[#This Row],[Fecha]],Tabla1[[Día]:[P/LC/CF/CL]],5,FALSE)="LC","SI",""),"")</f>
        <v/>
      </c>
      <c r="I110" s="22">
        <f>IFERROR(Tabla3[[#This Row],[Disponibilidad]]*Tabla3[[#This Row],[Rendimiento]], IF(Tabla3[[#This Row],[LC]]="SI", 0, "No"))</f>
        <v>0.84970370370370352</v>
      </c>
      <c r="J110" s="16">
        <f>IF(Tabla3[[#This Row],[OEE]]="No","",WEEKNUM(Tabla3[[#This Row],[Fecha]]))</f>
        <v>20</v>
      </c>
      <c r="K110" s="27">
        <f>IFERROR(IF(Tabla3[[#This Row],[OEE]]&lt;&gt;"No",Tabla3[[#This Row],[OEE]]/Tabla3[[#This Row],[Disponibilidad]],""),0)</f>
        <v>0.99316017316017313</v>
      </c>
    </row>
    <row r="111" spans="1:11" x14ac:dyDescent="0.25">
      <c r="A111" s="2">
        <v>45792</v>
      </c>
      <c r="B111" s="5">
        <f>SUMIFS('paradas-disp'!F:F,'paradas-disp'!A:A,Tabla3[[#This Row],[Fecha]])</f>
        <v>0.15972222222222221</v>
      </c>
      <c r="C111">
        <v>6316</v>
      </c>
      <c r="D111" s="15">
        <f>IF(Tabla3[[#This Row],[Fecha]]&lt;53,"",IFERROR(((HOUR(Tabla3[[#This Row],[Horas]])*60+MINUTE(Tabla3[[#This Row],[Horas]]))/60)*$D$1,""))</f>
        <v>6900</v>
      </c>
      <c r="E111" s="22">
        <f>IFERROR(Tabla3[[#This Row],[Cantidad producida]]/Tabla3[[#This Row],[Cantidad teórica]],"")</f>
        <v>0.91536231884057973</v>
      </c>
      <c r="F111" s="22">
        <f>IF(Tabla3[[#This Row],[Fecha]]&lt;53,"",IFERROR(Tabla3[[#This Row],[Horas]]/$F$1,""))</f>
        <v>0.25555555555555554</v>
      </c>
      <c r="G111" s="15" t="str">
        <f>IF(Tabla3[[#This Row],[Disponibilidad]]="","",IF(Tabla3[[#This Row],[Disponibilidad]]&gt;1,"NO",""))</f>
        <v/>
      </c>
      <c r="H111" t="str">
        <f>IFERROR(IF(VLOOKUP(Tabla3[[#This Row],[Fecha]],Tabla1[[Día]:[P/LC/CF/CL]],5,FALSE)="LC","SI",""),"")</f>
        <v/>
      </c>
      <c r="I111" s="22">
        <f>IFERROR(Tabla3[[#This Row],[Disponibilidad]]*Tabla3[[#This Row],[Rendimiento]], IF(Tabla3[[#This Row],[LC]]="SI", 0, "No"))</f>
        <v>0.2339259259259259</v>
      </c>
      <c r="J111" s="16">
        <f>IF(Tabla3[[#This Row],[OEE]]="No","",WEEKNUM(Tabla3[[#This Row],[Fecha]]))</f>
        <v>20</v>
      </c>
      <c r="K111" s="27">
        <f>IFERROR(IF(Tabla3[[#This Row],[OEE]]&lt;&gt;"No",Tabla3[[#This Row],[OEE]]/Tabla3[[#This Row],[Disponibilidad]],""),0)</f>
        <v>0.91536231884057973</v>
      </c>
    </row>
    <row r="112" spans="1:11" x14ac:dyDescent="0.25">
      <c r="A112" s="2">
        <v>45793</v>
      </c>
      <c r="B112" s="5">
        <f>SUMIFS('paradas-disp'!F:F,'paradas-disp'!A:A,Tabla3[[#This Row],[Fecha]])</f>
        <v>0.30208333333333337</v>
      </c>
      <c r="C112">
        <v>9162</v>
      </c>
      <c r="D112" s="15">
        <f>IF(Tabla3[[#This Row],[Fecha]]&lt;53,"",IFERROR(((HOUR(Tabla3[[#This Row],[Horas]])*60+MINUTE(Tabla3[[#This Row],[Horas]]))/60)*$D$1,""))</f>
        <v>13050</v>
      </c>
      <c r="E112" s="22">
        <f>IFERROR(Tabla3[[#This Row],[Cantidad producida]]/Tabla3[[#This Row],[Cantidad teórica]],"")</f>
        <v>0.70206896551724141</v>
      </c>
      <c r="F112" s="22">
        <f>IF(Tabla3[[#This Row],[Fecha]]&lt;53,"",IFERROR(Tabla3[[#This Row],[Horas]]/$F$1,""))</f>
        <v>0.48333333333333339</v>
      </c>
      <c r="G112" s="15" t="str">
        <f>IF(Tabla3[[#This Row],[Disponibilidad]]="","",IF(Tabla3[[#This Row],[Disponibilidad]]&gt;1,"NO",""))</f>
        <v/>
      </c>
      <c r="H112" t="str">
        <f>IFERROR(IF(VLOOKUP(Tabla3[[#This Row],[Fecha]],Tabla1[[Día]:[P/LC/CF/CL]],5,FALSE)="LC","SI",""),"")</f>
        <v>SI</v>
      </c>
      <c r="I112" s="22">
        <f>IFERROR(Tabla3[[#This Row],[Disponibilidad]]*Tabla3[[#This Row],[Rendimiento]], IF(Tabla3[[#This Row],[LC]]="SI", 0, "No"))</f>
        <v>0.33933333333333338</v>
      </c>
      <c r="J112" s="16">
        <f>IF(Tabla3[[#This Row],[OEE]]="No","",WEEKNUM(Tabla3[[#This Row],[Fecha]]))</f>
        <v>20</v>
      </c>
      <c r="K112" s="27">
        <f>IFERROR(IF(Tabla3[[#This Row],[OEE]]&lt;&gt;"No",Tabla3[[#This Row],[OEE]]/Tabla3[[#This Row],[Disponibilidad]],""),0)</f>
        <v>0.70206896551724141</v>
      </c>
    </row>
    <row r="113" spans="1:11" x14ac:dyDescent="0.25">
      <c r="A113" s="2">
        <v>45794</v>
      </c>
      <c r="B113" s="5">
        <f>SUMIFS('paradas-disp'!F:F,'paradas-disp'!A:A,Tabla3[[#This Row],[Fecha]])</f>
        <v>0</v>
      </c>
      <c r="D113" s="15">
        <f>IF(Tabla3[[#This Row],[Fecha]]&lt;53,"",IFERROR(((HOUR(Tabla3[[#This Row],[Horas]])*60+MINUTE(Tabla3[[#This Row],[Horas]]))/60)*$D$1,""))</f>
        <v>0</v>
      </c>
      <c r="E113" s="22" t="str">
        <f>IFERROR(Tabla3[[#This Row],[Cantidad producida]]/Tabla3[[#This Row],[Cantidad teórica]],"")</f>
        <v/>
      </c>
      <c r="F113" s="22">
        <f>IF(Tabla3[[#This Row],[Fecha]]&lt;53,"",IFERROR(Tabla3[[#This Row],[Horas]]/$F$1,""))</f>
        <v>0</v>
      </c>
      <c r="G113" s="15" t="str">
        <f>IF(Tabla3[[#This Row],[Disponibilidad]]="","",IF(Tabla3[[#This Row],[Disponibilidad]]&gt;1,"NO",""))</f>
        <v/>
      </c>
      <c r="H113" t="str">
        <f>IFERROR(IF(VLOOKUP(Tabla3[[#This Row],[Fecha]],Tabla1[[Día]:[P/LC/CF/CL]],5,FALSE)="LC","SI",""),"")</f>
        <v/>
      </c>
      <c r="I113" s="22" t="str">
        <f>IFERROR(Tabla3[[#This Row],[Disponibilidad]]*Tabla3[[#This Row],[Rendimiento]], IF(Tabla3[[#This Row],[LC]]="SI", 0, "No"))</f>
        <v>No</v>
      </c>
      <c r="J113" s="16" t="str">
        <f>IF(Tabla3[[#This Row],[OEE]]="No","",WEEKNUM(Tabla3[[#This Row],[Fecha]]))</f>
        <v/>
      </c>
      <c r="K113" s="27" t="str">
        <f>IFERROR(IF(Tabla3[[#This Row],[OEE]]&lt;&gt;"No",Tabla3[[#This Row],[OEE]]/Tabla3[[#This Row],[Disponibilidad]],""),0)</f>
        <v/>
      </c>
    </row>
    <row r="114" spans="1:11" x14ac:dyDescent="0.25">
      <c r="A114" s="2">
        <v>45795</v>
      </c>
      <c r="B114" s="5">
        <f>SUMIFS('paradas-disp'!F:F,'paradas-disp'!A:A,Tabla3[[#This Row],[Fecha]])</f>
        <v>0</v>
      </c>
      <c r="D114" s="15">
        <f>IF(Tabla3[[#This Row],[Fecha]]&lt;53,"",IFERROR(((HOUR(Tabla3[[#This Row],[Horas]])*60+MINUTE(Tabla3[[#This Row],[Horas]]))/60)*$D$1,""))</f>
        <v>0</v>
      </c>
      <c r="E114" s="22" t="str">
        <f>IFERROR(Tabla3[[#This Row],[Cantidad producida]]/Tabla3[[#This Row],[Cantidad teórica]],"")</f>
        <v/>
      </c>
      <c r="F114" s="22">
        <f>IF(Tabla3[[#This Row],[Fecha]]&lt;53,"",IFERROR(Tabla3[[#This Row],[Horas]]/$F$1,""))</f>
        <v>0</v>
      </c>
      <c r="G114" s="15" t="str">
        <f>IF(Tabla3[[#This Row],[Disponibilidad]]="","",IF(Tabla3[[#This Row],[Disponibilidad]]&gt;1,"NO",""))</f>
        <v/>
      </c>
      <c r="H114" t="str">
        <f>IFERROR(IF(VLOOKUP(Tabla3[[#This Row],[Fecha]],Tabla1[[Día]:[P/LC/CF/CL]],5,FALSE)="LC","SI",""),"")</f>
        <v/>
      </c>
      <c r="I114" s="22" t="str">
        <f>IFERROR(Tabla3[[#This Row],[Disponibilidad]]*Tabla3[[#This Row],[Rendimiento]], IF(Tabla3[[#This Row],[LC]]="SI", 0, "No"))</f>
        <v>No</v>
      </c>
      <c r="J114" s="16" t="str">
        <f>IF(Tabla3[[#This Row],[OEE]]="No","",WEEKNUM(Tabla3[[#This Row],[Fecha]]))</f>
        <v/>
      </c>
      <c r="K114" s="27" t="str">
        <f>IFERROR(IF(Tabla3[[#This Row],[OEE]]&lt;&gt;"No",Tabla3[[#This Row],[OEE]]/Tabla3[[#This Row],[Disponibilidad]],""),0)</f>
        <v/>
      </c>
    </row>
    <row r="115" spans="1:11" x14ac:dyDescent="0.25">
      <c r="A115" s="2">
        <v>45796</v>
      </c>
      <c r="B115" s="5">
        <f>SUMIFS('paradas-disp'!F:F,'paradas-disp'!A:A,Tabla3[[#This Row],[Fecha]])</f>
        <v>0.51736111111111105</v>
      </c>
      <c r="C115">
        <v>18516</v>
      </c>
      <c r="D115" s="15">
        <f>IF(Tabla3[[#This Row],[Fecha]]&lt;53,"",IFERROR(((HOUR(Tabla3[[#This Row],[Horas]])*60+MINUTE(Tabla3[[#This Row],[Horas]]))/60)*$D$1,""))</f>
        <v>22350</v>
      </c>
      <c r="E115" s="22">
        <f>IFERROR(Tabla3[[#This Row],[Cantidad producida]]/Tabla3[[#This Row],[Cantidad teórica]],"")</f>
        <v>0.82845637583892617</v>
      </c>
      <c r="F115" s="22">
        <f>IF(Tabla3[[#This Row],[Fecha]]&lt;53,"",IFERROR(Tabla3[[#This Row],[Horas]]/$F$1,""))</f>
        <v>0.82777777777777772</v>
      </c>
      <c r="G115" s="15" t="str">
        <f>IF(Tabla3[[#This Row],[Disponibilidad]]="","",IF(Tabla3[[#This Row],[Disponibilidad]]&gt;1,"NO",""))</f>
        <v/>
      </c>
      <c r="H115" t="str">
        <f>IFERROR(IF(VLOOKUP(Tabla3[[#This Row],[Fecha]],Tabla1[[Día]:[P/LC/CF/CL]],5,FALSE)="LC","SI",""),"")</f>
        <v/>
      </c>
      <c r="I115" s="22">
        <f>IFERROR(Tabla3[[#This Row],[Disponibilidad]]*Tabla3[[#This Row],[Rendimiento]], IF(Tabla3[[#This Row],[LC]]="SI", 0, "No"))</f>
        <v>0.68577777777777771</v>
      </c>
      <c r="J115" s="16">
        <f>IF(Tabla3[[#This Row],[OEE]]="No","",WEEKNUM(Tabla3[[#This Row],[Fecha]]))</f>
        <v>21</v>
      </c>
      <c r="K115" s="27">
        <f>IFERROR(IF(Tabla3[[#This Row],[OEE]]&lt;&gt;"No",Tabla3[[#This Row],[OEE]]/Tabla3[[#This Row],[Disponibilidad]],""),0)</f>
        <v>0.82845637583892617</v>
      </c>
    </row>
    <row r="116" spans="1:11" x14ac:dyDescent="0.25">
      <c r="A116" s="2">
        <v>45797</v>
      </c>
      <c r="B116" s="5">
        <f>SUMIFS('paradas-disp'!F:F,'paradas-disp'!A:A,Tabla3[[#This Row],[Fecha]])</f>
        <v>0.50347222222222221</v>
      </c>
      <c r="C116">
        <v>17066</v>
      </c>
      <c r="D116" s="15">
        <f>IF(Tabla3[[#This Row],[Fecha]]&lt;53,"",IFERROR(((HOUR(Tabla3[[#This Row],[Horas]])*60+MINUTE(Tabla3[[#This Row],[Horas]]))/60)*$D$1,""))</f>
        <v>21750</v>
      </c>
      <c r="E116" s="22">
        <f>IFERROR(Tabla3[[#This Row],[Cantidad producida]]/Tabla3[[#This Row],[Cantidad teórica]],"")</f>
        <v>0.78464367816091951</v>
      </c>
      <c r="F116" s="22">
        <f>IF(Tabla3[[#This Row],[Fecha]]&lt;53,"",IFERROR(Tabla3[[#This Row],[Horas]]/$F$1,""))</f>
        <v>0.80555555555555558</v>
      </c>
      <c r="G116" s="15" t="str">
        <f>IF(Tabla3[[#This Row],[Disponibilidad]]="","",IF(Tabla3[[#This Row],[Disponibilidad]]&gt;1,"NO",""))</f>
        <v/>
      </c>
      <c r="H116" t="str">
        <f>IFERROR(IF(VLOOKUP(Tabla3[[#This Row],[Fecha]],Tabla1[[Día]:[P/LC/CF/CL]],5,FALSE)="LC","SI",""),"")</f>
        <v/>
      </c>
      <c r="I116" s="22">
        <f>IFERROR(Tabla3[[#This Row],[Disponibilidad]]*Tabla3[[#This Row],[Rendimiento]], IF(Tabla3[[#This Row],[LC]]="SI", 0, "No"))</f>
        <v>0.63207407407407412</v>
      </c>
      <c r="J116" s="16">
        <f>IF(Tabla3[[#This Row],[OEE]]="No","",WEEKNUM(Tabla3[[#This Row],[Fecha]]))</f>
        <v>21</v>
      </c>
      <c r="K116" s="27">
        <f>IFERROR(IF(Tabla3[[#This Row],[OEE]]&lt;&gt;"No",Tabla3[[#This Row],[OEE]]/Tabla3[[#This Row],[Disponibilidad]],""),0)</f>
        <v>0.78464367816091962</v>
      </c>
    </row>
    <row r="117" spans="1:11" x14ac:dyDescent="0.25">
      <c r="A117" s="2">
        <v>45798</v>
      </c>
      <c r="B117" s="5">
        <f>SUMIFS('paradas-disp'!F:F,'paradas-disp'!A:A,Tabla3[[#This Row],[Fecha]])</f>
        <v>0.30555555555555558</v>
      </c>
      <c r="C117">
        <v>7256</v>
      </c>
      <c r="D117" s="15">
        <f>IF(Tabla3[[#This Row],[Fecha]]&lt;53,"",IFERROR(((HOUR(Tabla3[[#This Row],[Horas]])*60+MINUTE(Tabla3[[#This Row],[Horas]]))/60)*$D$1,""))</f>
        <v>13200</v>
      </c>
      <c r="E117" s="22">
        <f>IFERROR(Tabla3[[#This Row],[Cantidad producida]]/Tabla3[[#This Row],[Cantidad teórica]],"")</f>
        <v>0.54969696969696968</v>
      </c>
      <c r="F117" s="22">
        <f>IF(Tabla3[[#This Row],[Fecha]]&lt;53,"",IFERROR(Tabla3[[#This Row],[Horas]]/$F$1,""))</f>
        <v>0.48888888888888893</v>
      </c>
      <c r="G117" s="15" t="str">
        <f>IF(Tabla3[[#This Row],[Disponibilidad]]="","",IF(Tabla3[[#This Row],[Disponibilidad]]&gt;1,"NO",""))</f>
        <v/>
      </c>
      <c r="H117" t="str">
        <f>IFERROR(IF(VLOOKUP(Tabla3[[#This Row],[Fecha]],Tabla1[[Día]:[P/LC/CF/CL]],5,FALSE)="LC","SI",""),"")</f>
        <v/>
      </c>
      <c r="I117" s="22">
        <f>IFERROR(Tabla3[[#This Row],[Disponibilidad]]*Tabla3[[#This Row],[Rendimiento]], IF(Tabla3[[#This Row],[LC]]="SI", 0, "No"))</f>
        <v>0.26874074074074078</v>
      </c>
      <c r="J117" s="16">
        <f>IF(Tabla3[[#This Row],[OEE]]="No","",WEEKNUM(Tabla3[[#This Row],[Fecha]]))</f>
        <v>21</v>
      </c>
      <c r="K117" s="27">
        <f>IFERROR(IF(Tabla3[[#This Row],[OEE]]&lt;&gt;"No",Tabla3[[#This Row],[OEE]]/Tabla3[[#This Row],[Disponibilidad]],""),0)</f>
        <v>0.54969696969696968</v>
      </c>
    </row>
    <row r="118" spans="1:11" x14ac:dyDescent="0.25">
      <c r="A118" s="2">
        <v>45799</v>
      </c>
      <c r="B118" s="5">
        <f>SUMIFS('paradas-disp'!F:F,'paradas-disp'!A:A,Tabla3[[#This Row],[Fecha]])</f>
        <v>0.33680555555555558</v>
      </c>
      <c r="C118">
        <v>3526</v>
      </c>
      <c r="D118" s="15">
        <f>IF(Tabla3[[#This Row],[Fecha]]&lt;53,"",IFERROR(((HOUR(Tabla3[[#This Row],[Horas]])*60+MINUTE(Tabla3[[#This Row],[Horas]]))/60)*$D$1,""))</f>
        <v>14550.000000000002</v>
      </c>
      <c r="E118" s="22">
        <f>IFERROR(Tabla3[[#This Row],[Cantidad producida]]/Tabla3[[#This Row],[Cantidad teórica]],"")</f>
        <v>0.24233676975945015</v>
      </c>
      <c r="F118" s="22">
        <f>IF(Tabla3[[#This Row],[Fecha]]&lt;53,"",IFERROR(Tabla3[[#This Row],[Horas]]/$F$1,""))</f>
        <v>0.53888888888888897</v>
      </c>
      <c r="G118" s="15" t="str">
        <f>IF(Tabla3[[#This Row],[Disponibilidad]]="","",IF(Tabla3[[#This Row],[Disponibilidad]]&gt;1,"NO",""))</f>
        <v/>
      </c>
      <c r="H118" t="str">
        <f>IFERROR(IF(VLOOKUP(Tabla3[[#This Row],[Fecha]],Tabla1[[Día]:[P/LC/CF/CL]],5,FALSE)="LC","SI",""),"")</f>
        <v/>
      </c>
      <c r="I118" s="22">
        <f>IFERROR(Tabla3[[#This Row],[Disponibilidad]]*Tabla3[[#This Row],[Rendimiento]], IF(Tabla3[[#This Row],[LC]]="SI", 0, "No"))</f>
        <v>0.13059259259259259</v>
      </c>
      <c r="J118" s="16">
        <f>IF(Tabla3[[#This Row],[OEE]]="No","",WEEKNUM(Tabla3[[#This Row],[Fecha]]))</f>
        <v>21</v>
      </c>
      <c r="K118" s="27">
        <f>IFERROR(IF(Tabla3[[#This Row],[OEE]]&lt;&gt;"No",Tabla3[[#This Row],[OEE]]/Tabla3[[#This Row],[Disponibilidad]],""),0)</f>
        <v>0.24233676975945015</v>
      </c>
    </row>
    <row r="119" spans="1:11" x14ac:dyDescent="0.25">
      <c r="A119" s="2">
        <v>45800</v>
      </c>
      <c r="B119" s="5">
        <f>SUMIFS('paradas-disp'!F:F,'paradas-disp'!A:A,Tabla3[[#This Row],[Fecha]])</f>
        <v>0.53819444444444453</v>
      </c>
      <c r="C119">
        <v>9816</v>
      </c>
      <c r="D119" s="15">
        <f>IF(Tabla3[[#This Row],[Fecha]]&lt;53,"",IFERROR(((HOUR(Tabla3[[#This Row],[Horas]])*60+MINUTE(Tabla3[[#This Row],[Horas]]))/60)*$D$1,""))</f>
        <v>23250</v>
      </c>
      <c r="E119" s="22">
        <f>IFERROR(Tabla3[[#This Row],[Cantidad producida]]/Tabla3[[#This Row],[Cantidad teórica]],"")</f>
        <v>0.42219354838709677</v>
      </c>
      <c r="F119" s="22">
        <f>IF(Tabla3[[#This Row],[Fecha]]&lt;53,"",IFERROR(Tabla3[[#This Row],[Horas]]/$F$1,""))</f>
        <v>0.86111111111111127</v>
      </c>
      <c r="G119" s="15" t="str">
        <f>IF(Tabla3[[#This Row],[Disponibilidad]]="","",IF(Tabla3[[#This Row],[Disponibilidad]]&gt;1,"NO",""))</f>
        <v/>
      </c>
      <c r="H119" t="str">
        <f>IFERROR(IF(VLOOKUP(Tabla3[[#This Row],[Fecha]],Tabla1[[Día]:[P/LC/CF/CL]],5,FALSE)="LC","SI",""),"")</f>
        <v/>
      </c>
      <c r="I119" s="22">
        <f>IFERROR(Tabla3[[#This Row],[Disponibilidad]]*Tabla3[[#This Row],[Rendimiento]], IF(Tabla3[[#This Row],[LC]]="SI", 0, "No"))</f>
        <v>0.36355555555555563</v>
      </c>
      <c r="J119" s="16">
        <f>IF(Tabla3[[#This Row],[OEE]]="No","",WEEKNUM(Tabla3[[#This Row],[Fecha]]))</f>
        <v>21</v>
      </c>
      <c r="K119" s="27">
        <f>IFERROR(IF(Tabla3[[#This Row],[OEE]]&lt;&gt;"No",Tabla3[[#This Row],[OEE]]/Tabla3[[#This Row],[Disponibilidad]],""),0)</f>
        <v>0.42219354838709677</v>
      </c>
    </row>
    <row r="120" spans="1:11" x14ac:dyDescent="0.25">
      <c r="A120" s="2">
        <v>45801</v>
      </c>
      <c r="B120" s="5">
        <f>SUMIFS('paradas-disp'!F:F,'paradas-disp'!A:A,Tabla3[[#This Row],[Fecha]])</f>
        <v>0</v>
      </c>
      <c r="D120" s="15">
        <f>IF(Tabla3[[#This Row],[Fecha]]&lt;53,"",IFERROR(((HOUR(Tabla3[[#This Row],[Horas]])*60+MINUTE(Tabla3[[#This Row],[Horas]]))/60)*$D$1,""))</f>
        <v>0</v>
      </c>
      <c r="E120" s="22" t="str">
        <f>IFERROR(Tabla3[[#This Row],[Cantidad producida]]/Tabla3[[#This Row],[Cantidad teórica]],"")</f>
        <v/>
      </c>
      <c r="F120" s="22">
        <f>IF(Tabla3[[#This Row],[Fecha]]&lt;53,"",IFERROR(Tabla3[[#This Row],[Horas]]/$F$1,""))</f>
        <v>0</v>
      </c>
      <c r="G120" s="15" t="str">
        <f>IF(Tabla3[[#This Row],[Disponibilidad]]="","",IF(Tabla3[[#This Row],[Disponibilidad]]&gt;1,"NO",""))</f>
        <v/>
      </c>
      <c r="H120" t="str">
        <f>IFERROR(IF(VLOOKUP(Tabla3[[#This Row],[Fecha]],Tabla1[[Día]:[P/LC/CF/CL]],5,FALSE)="LC","SI",""),"")</f>
        <v/>
      </c>
      <c r="I120" s="22" t="str">
        <f>IFERROR(Tabla3[[#This Row],[Disponibilidad]]*Tabla3[[#This Row],[Rendimiento]], IF(Tabla3[[#This Row],[LC]]="SI", 0, "No"))</f>
        <v>No</v>
      </c>
      <c r="J120" s="16" t="str">
        <f>IF(Tabla3[[#This Row],[OEE]]="No","",WEEKNUM(Tabla3[[#This Row],[Fecha]]))</f>
        <v/>
      </c>
      <c r="K120" s="27" t="str">
        <f>IFERROR(IF(Tabla3[[#This Row],[OEE]]&lt;&gt;"No",Tabla3[[#This Row],[OEE]]/Tabla3[[#This Row],[Disponibilidad]],""),0)</f>
        <v/>
      </c>
    </row>
    <row r="121" spans="1:11" x14ac:dyDescent="0.25">
      <c r="A121" s="2">
        <v>45802</v>
      </c>
      <c r="B121" s="5">
        <f>SUMIFS('paradas-disp'!F:F,'paradas-disp'!A:A,Tabla3[[#This Row],[Fecha]])</f>
        <v>0</v>
      </c>
      <c r="D121" s="15">
        <f>IF(Tabla3[[#This Row],[Fecha]]&lt;53,"",IFERROR(((HOUR(Tabla3[[#This Row],[Horas]])*60+MINUTE(Tabla3[[#This Row],[Horas]]))/60)*$D$1,""))</f>
        <v>0</v>
      </c>
      <c r="E121" s="22" t="str">
        <f>IFERROR(Tabla3[[#This Row],[Cantidad producida]]/Tabla3[[#This Row],[Cantidad teórica]],"")</f>
        <v/>
      </c>
      <c r="F121" s="22">
        <f>IF(Tabla3[[#This Row],[Fecha]]&lt;53,"",IFERROR(Tabla3[[#This Row],[Horas]]/$F$1,""))</f>
        <v>0</v>
      </c>
      <c r="G121" s="15" t="str">
        <f>IF(Tabla3[[#This Row],[Disponibilidad]]="","",IF(Tabla3[[#This Row],[Disponibilidad]]&gt;1,"NO",""))</f>
        <v/>
      </c>
      <c r="H121" t="str">
        <f>IFERROR(IF(VLOOKUP(Tabla3[[#This Row],[Fecha]],Tabla1[[Día]:[P/LC/CF/CL]],5,FALSE)="LC","SI",""),"")</f>
        <v/>
      </c>
      <c r="I121" s="22" t="str">
        <f>IFERROR(Tabla3[[#This Row],[Disponibilidad]]*Tabla3[[#This Row],[Rendimiento]], IF(Tabla3[[#This Row],[LC]]="SI", 0, "No"))</f>
        <v>No</v>
      </c>
      <c r="J121" s="16" t="str">
        <f>IF(Tabla3[[#This Row],[OEE]]="No","",WEEKNUM(Tabla3[[#This Row],[Fecha]]))</f>
        <v/>
      </c>
      <c r="K121" s="27" t="str">
        <f>IFERROR(IF(Tabla3[[#This Row],[OEE]]&lt;&gt;"No",Tabla3[[#This Row],[OEE]]/Tabla3[[#This Row],[Disponibilidad]],""),0)</f>
        <v/>
      </c>
    </row>
    <row r="122" spans="1:11" x14ac:dyDescent="0.25">
      <c r="A122" s="2">
        <v>45803</v>
      </c>
      <c r="B122" s="5">
        <f>SUMIFS('paradas-disp'!F:F,'paradas-disp'!A:A,Tabla3[[#This Row],[Fecha]])</f>
        <v>0.56250000000000011</v>
      </c>
      <c r="C122">
        <v>10212</v>
      </c>
      <c r="D122" s="15">
        <f>IF(Tabla3[[#This Row],[Fecha]]&lt;53,"",IFERROR(((HOUR(Tabla3[[#This Row],[Horas]])*60+MINUTE(Tabla3[[#This Row],[Horas]]))/60)*$D$1,""))</f>
        <v>24300</v>
      </c>
      <c r="E122" s="22">
        <f>IFERROR(Tabla3[[#This Row],[Cantidad producida]]/Tabla3[[#This Row],[Cantidad teórica]],"")</f>
        <v>0.42024691358024691</v>
      </c>
      <c r="F122" s="22">
        <f>IF(Tabla3[[#This Row],[Fecha]]&lt;53,"",IFERROR(Tabla3[[#This Row],[Horas]]/$F$1,""))</f>
        <v>0.90000000000000013</v>
      </c>
      <c r="G122" s="15" t="str">
        <f>IF(Tabla3[[#This Row],[Disponibilidad]]="","",IF(Tabla3[[#This Row],[Disponibilidad]]&gt;1,"NO",""))</f>
        <v/>
      </c>
      <c r="H122" t="str">
        <f>IFERROR(IF(VLOOKUP(Tabla3[[#This Row],[Fecha]],Tabla1[[Día]:[P/LC/CF/CL]],5,FALSE)="LC","SI",""),"")</f>
        <v/>
      </c>
      <c r="I122" s="22">
        <f>IFERROR(Tabla3[[#This Row],[Disponibilidad]]*Tabla3[[#This Row],[Rendimiento]], IF(Tabla3[[#This Row],[LC]]="SI", 0, "No"))</f>
        <v>0.37822222222222229</v>
      </c>
      <c r="J122" s="16">
        <f>IF(Tabla3[[#This Row],[OEE]]="No","",WEEKNUM(Tabla3[[#This Row],[Fecha]]))</f>
        <v>22</v>
      </c>
      <c r="K122" s="27">
        <f>IFERROR(IF(Tabla3[[#This Row],[OEE]]&lt;&gt;"No",Tabla3[[#This Row],[OEE]]/Tabla3[[#This Row],[Disponibilidad]],""),0)</f>
        <v>0.42024691358024691</v>
      </c>
    </row>
    <row r="123" spans="1:11" x14ac:dyDescent="0.25">
      <c r="A123" s="2">
        <v>45804</v>
      </c>
      <c r="B123" s="5">
        <f>SUMIFS('paradas-disp'!F:F,'paradas-disp'!A:A,Tabla3[[#This Row],[Fecha]])</f>
        <v>0.41319444444444448</v>
      </c>
      <c r="C123">
        <v>8928</v>
      </c>
      <c r="D123" s="15">
        <f>IF(Tabla3[[#This Row],[Fecha]]&lt;53,"",IFERROR(((HOUR(Tabla3[[#This Row],[Horas]])*60+MINUTE(Tabla3[[#This Row],[Horas]]))/60)*$D$1,""))</f>
        <v>17850</v>
      </c>
      <c r="E123" s="22">
        <f>IFERROR(Tabla3[[#This Row],[Cantidad producida]]/Tabla3[[#This Row],[Cantidad teórica]],"")</f>
        <v>0.50016806722689078</v>
      </c>
      <c r="F123" s="22">
        <f>IF(Tabla3[[#This Row],[Fecha]]&lt;53,"",IFERROR(Tabla3[[#This Row],[Horas]]/$F$1,""))</f>
        <v>0.6611111111111112</v>
      </c>
      <c r="G123" s="15" t="str">
        <f>IF(Tabla3[[#This Row],[Disponibilidad]]="","",IF(Tabla3[[#This Row],[Disponibilidad]]&gt;1,"NO",""))</f>
        <v/>
      </c>
      <c r="H123" t="str">
        <f>IFERROR(IF(VLOOKUP(Tabla3[[#This Row],[Fecha]],Tabla1[[Día]:[P/LC/CF/CL]],5,FALSE)="LC","SI",""),"")</f>
        <v/>
      </c>
      <c r="I123" s="22">
        <f>IFERROR(Tabla3[[#This Row],[Disponibilidad]]*Tabla3[[#This Row],[Rendimiento]], IF(Tabla3[[#This Row],[LC]]="SI", 0, "No"))</f>
        <v>0.33066666666666672</v>
      </c>
      <c r="J123" s="16">
        <f>IF(Tabla3[[#This Row],[OEE]]="No","",WEEKNUM(Tabla3[[#This Row],[Fecha]]))</f>
        <v>22</v>
      </c>
      <c r="K123" s="27">
        <f>IFERROR(IF(Tabla3[[#This Row],[OEE]]&lt;&gt;"No",Tabla3[[#This Row],[OEE]]/Tabla3[[#This Row],[Disponibilidad]],""),0)</f>
        <v>0.50016806722689078</v>
      </c>
    </row>
    <row r="124" spans="1:11" x14ac:dyDescent="0.25">
      <c r="A124" s="2">
        <v>45805</v>
      </c>
      <c r="B124" s="5">
        <f>SUMIFS('paradas-disp'!F:F,'paradas-disp'!A:A,Tabla3[[#This Row],[Fecha]])</f>
        <v>0.28472222222222221</v>
      </c>
      <c r="C124">
        <v>8556</v>
      </c>
      <c r="D124" s="15">
        <f>IF(Tabla3[[#This Row],[Fecha]]&lt;53,"",IFERROR(((HOUR(Tabla3[[#This Row],[Horas]])*60+MINUTE(Tabla3[[#This Row],[Horas]]))/60)*$D$1,""))</f>
        <v>12300</v>
      </c>
      <c r="E124" s="22">
        <f>IFERROR(Tabla3[[#This Row],[Cantidad producida]]/Tabla3[[#This Row],[Cantidad teórica]],"")</f>
        <v>0.69560975609756093</v>
      </c>
      <c r="F124" s="22">
        <f>IF(Tabla3[[#This Row],[Fecha]]&lt;53,"",IFERROR(Tabla3[[#This Row],[Horas]]/$F$1,""))</f>
        <v>0.45555555555555555</v>
      </c>
      <c r="G124" s="15" t="str">
        <f>IF(Tabla3[[#This Row],[Disponibilidad]]="","",IF(Tabla3[[#This Row],[Disponibilidad]]&gt;1,"NO",""))</f>
        <v/>
      </c>
      <c r="H124" t="str">
        <f>IFERROR(IF(VLOOKUP(Tabla3[[#This Row],[Fecha]],Tabla1[[Día]:[P/LC/CF/CL]],5,FALSE)="LC","SI",""),"")</f>
        <v/>
      </c>
      <c r="I124" s="22">
        <f>IFERROR(Tabla3[[#This Row],[Disponibilidad]]*Tabla3[[#This Row],[Rendimiento]], IF(Tabla3[[#This Row],[LC]]="SI", 0, "No"))</f>
        <v>0.31688888888888889</v>
      </c>
      <c r="J124" s="16">
        <f>IF(Tabla3[[#This Row],[OEE]]="No","",WEEKNUM(Tabla3[[#This Row],[Fecha]]))</f>
        <v>22</v>
      </c>
      <c r="K124" s="27">
        <f>IFERROR(IF(Tabla3[[#This Row],[OEE]]&lt;&gt;"No",Tabla3[[#This Row],[OEE]]/Tabla3[[#This Row],[Disponibilidad]],""),0)</f>
        <v>0.69560975609756104</v>
      </c>
    </row>
    <row r="125" spans="1:11" x14ac:dyDescent="0.25">
      <c r="A125" s="2">
        <v>45806</v>
      </c>
      <c r="B125" s="5">
        <f>SUMIFS('paradas-disp'!F:F,'paradas-disp'!A:A,Tabla3[[#This Row],[Fecha]])</f>
        <v>0.45833333333333343</v>
      </c>
      <c r="C125">
        <v>11765</v>
      </c>
      <c r="D125" s="15">
        <f>IF(Tabla3[[#This Row],[Fecha]]&lt;53,"",IFERROR(((HOUR(Tabla3[[#This Row],[Horas]])*60+MINUTE(Tabla3[[#This Row],[Horas]]))/60)*$D$1,""))</f>
        <v>19800</v>
      </c>
      <c r="E125" s="22">
        <f>IFERROR(Tabla3[[#This Row],[Cantidad producida]]/Tabla3[[#This Row],[Cantidad teórica]],"")</f>
        <v>0.59419191919191916</v>
      </c>
      <c r="F125" s="22">
        <f>IF(Tabla3[[#This Row],[Fecha]]&lt;53,"",IFERROR(Tabla3[[#This Row],[Horas]]/$F$1,""))</f>
        <v>0.7333333333333335</v>
      </c>
      <c r="G125" s="15" t="str">
        <f>IF(Tabla3[[#This Row],[Disponibilidad]]="","",IF(Tabla3[[#This Row],[Disponibilidad]]&gt;1,"NO",""))</f>
        <v/>
      </c>
      <c r="H125" t="str">
        <f>IFERROR(IF(VLOOKUP(Tabla3[[#This Row],[Fecha]],Tabla1[[Día]:[P/LC/CF/CL]],5,FALSE)="LC","SI",""),"")</f>
        <v/>
      </c>
      <c r="I125" s="22">
        <f>IFERROR(Tabla3[[#This Row],[Disponibilidad]]*Tabla3[[#This Row],[Rendimiento]], IF(Tabla3[[#This Row],[LC]]="SI", 0, "No"))</f>
        <v>0.43574074074074082</v>
      </c>
      <c r="J125" s="16">
        <f>IF(Tabla3[[#This Row],[OEE]]="No","",WEEKNUM(Tabla3[[#This Row],[Fecha]]))</f>
        <v>22</v>
      </c>
      <c r="K125" s="27">
        <f>IFERROR(IF(Tabla3[[#This Row],[OEE]]&lt;&gt;"No",Tabla3[[#This Row],[OEE]]/Tabla3[[#This Row],[Disponibilidad]],""),0)</f>
        <v>0.59419191919191916</v>
      </c>
    </row>
    <row r="126" spans="1:11" x14ac:dyDescent="0.25">
      <c r="A126" s="2">
        <v>45807</v>
      </c>
      <c r="B126" s="5">
        <f>SUMIFS('paradas-disp'!F:F,'paradas-disp'!A:A,Tabla3[[#This Row],[Fecha]])</f>
        <v>0.28819444444444442</v>
      </c>
      <c r="C126">
        <v>12432</v>
      </c>
      <c r="D126" s="15">
        <f>IF(Tabla3[[#This Row],[Fecha]]&lt;53,"",IFERROR(((HOUR(Tabla3[[#This Row],[Horas]])*60+MINUTE(Tabla3[[#This Row],[Horas]]))/60)*$D$1,""))</f>
        <v>12450</v>
      </c>
      <c r="E126" s="22">
        <f>IFERROR(Tabla3[[#This Row],[Cantidad producida]]/Tabla3[[#This Row],[Cantidad teórica]],"")</f>
        <v>0.99855421686746992</v>
      </c>
      <c r="F126" s="22">
        <f>IF(Tabla3[[#This Row],[Fecha]]&lt;53,"",IFERROR(Tabla3[[#This Row],[Horas]]/$F$1,""))</f>
        <v>0.46111111111111108</v>
      </c>
      <c r="G126" s="15" t="str">
        <f>IF(Tabla3[[#This Row],[Disponibilidad]]="","",IF(Tabla3[[#This Row],[Disponibilidad]]&gt;1,"NO",""))</f>
        <v/>
      </c>
      <c r="H126" t="str">
        <f>IFERROR(IF(VLOOKUP(Tabla3[[#This Row],[Fecha]],Tabla1[[Día]:[P/LC/CF/CL]],5,FALSE)="LC","SI",""),"")</f>
        <v/>
      </c>
      <c r="I126" s="22">
        <f>IFERROR(Tabla3[[#This Row],[Disponibilidad]]*Tabla3[[#This Row],[Rendimiento]], IF(Tabla3[[#This Row],[LC]]="SI", 0, "No"))</f>
        <v>0.46044444444444443</v>
      </c>
      <c r="J126" s="16">
        <f>IF(Tabla3[[#This Row],[OEE]]="No","",WEEKNUM(Tabla3[[#This Row],[Fecha]]))</f>
        <v>22</v>
      </c>
      <c r="K126" s="27">
        <f>IFERROR(IF(Tabla3[[#This Row],[OEE]]&lt;&gt;"No",Tabla3[[#This Row],[OEE]]/Tabla3[[#This Row],[Disponibilidad]],""),0)</f>
        <v>0.99855421686746992</v>
      </c>
    </row>
    <row r="127" spans="1:11" x14ac:dyDescent="0.25">
      <c r="A127" s="2">
        <v>45808</v>
      </c>
      <c r="B127" s="5">
        <f>SUMIFS('paradas-disp'!F:F,'paradas-disp'!A:A,Tabla3[[#This Row],[Fecha]])</f>
        <v>0</v>
      </c>
      <c r="D127" s="15">
        <f>IF(Tabla3[[#This Row],[Fecha]]&lt;53,"",IFERROR(((HOUR(Tabla3[[#This Row],[Horas]])*60+MINUTE(Tabla3[[#This Row],[Horas]]))/60)*$D$1,""))</f>
        <v>0</v>
      </c>
      <c r="E127" s="22" t="str">
        <f>IFERROR(Tabla3[[#This Row],[Cantidad producida]]/Tabla3[[#This Row],[Cantidad teórica]],"")</f>
        <v/>
      </c>
      <c r="F127" s="22">
        <f>IF(Tabla3[[#This Row],[Fecha]]&lt;53,"",IFERROR(Tabla3[[#This Row],[Horas]]/$F$1,""))</f>
        <v>0</v>
      </c>
      <c r="G127" s="15" t="str">
        <f>IF(Tabla3[[#This Row],[Disponibilidad]]="","",IF(Tabla3[[#This Row],[Disponibilidad]]&gt;1,"NO",""))</f>
        <v/>
      </c>
      <c r="H127" t="str">
        <f>IFERROR(IF(VLOOKUP(Tabla3[[#This Row],[Fecha]],Tabla1[[Día]:[P/LC/CF/CL]],5,FALSE)="LC","SI",""),"")</f>
        <v/>
      </c>
      <c r="I127" s="22" t="str">
        <f>IFERROR(Tabla3[[#This Row],[Disponibilidad]]*Tabla3[[#This Row],[Rendimiento]], IF(Tabla3[[#This Row],[LC]]="SI", 0, "No"))</f>
        <v>No</v>
      </c>
      <c r="J127" s="16" t="str">
        <f>IF(Tabla3[[#This Row],[OEE]]="No","",WEEKNUM(Tabla3[[#This Row],[Fecha]]))</f>
        <v/>
      </c>
      <c r="K127" s="27" t="str">
        <f>IFERROR(IF(Tabla3[[#This Row],[OEE]]&lt;&gt;"No",Tabla3[[#This Row],[OEE]]/Tabla3[[#This Row],[Disponibilidad]],""),0)</f>
        <v/>
      </c>
    </row>
    <row r="128" spans="1:11" x14ac:dyDescent="0.25">
      <c r="A128" s="2">
        <v>45809</v>
      </c>
      <c r="B128" s="5">
        <f>SUMIFS('paradas-disp'!F:F,'paradas-disp'!A:A,Tabla3[[#This Row],[Fecha]])</f>
        <v>0</v>
      </c>
      <c r="D128" s="15">
        <f>IF(Tabla3[[#This Row],[Fecha]]&lt;53,"",IFERROR(((HOUR(Tabla3[[#This Row],[Horas]])*60+MINUTE(Tabla3[[#This Row],[Horas]]))/60)*$D$1,""))</f>
        <v>0</v>
      </c>
      <c r="E128" s="22" t="str">
        <f>IFERROR(Tabla3[[#This Row],[Cantidad producida]]/Tabla3[[#This Row],[Cantidad teórica]],"")</f>
        <v/>
      </c>
      <c r="F128" s="22">
        <f>IF(Tabla3[[#This Row],[Fecha]]&lt;53,"",IFERROR(Tabla3[[#This Row],[Horas]]/$F$1,""))</f>
        <v>0</v>
      </c>
      <c r="G128" s="15" t="str">
        <f>IF(Tabla3[[#This Row],[Disponibilidad]]="","",IF(Tabla3[[#This Row],[Disponibilidad]]&gt;1,"NO",""))</f>
        <v/>
      </c>
      <c r="H128" t="str">
        <f>IFERROR(IF(VLOOKUP(Tabla3[[#This Row],[Fecha]],Tabla1[[Día]:[P/LC/CF/CL]],5,FALSE)="LC","SI",""),"")</f>
        <v/>
      </c>
      <c r="I128" s="22" t="str">
        <f>IFERROR(Tabla3[[#This Row],[Disponibilidad]]*Tabla3[[#This Row],[Rendimiento]], IF(Tabla3[[#This Row],[LC]]="SI", 0, "No"))</f>
        <v>No</v>
      </c>
      <c r="J128" s="16" t="str">
        <f>IF(Tabla3[[#This Row],[OEE]]="No","",WEEKNUM(Tabla3[[#This Row],[Fecha]]))</f>
        <v/>
      </c>
      <c r="K128" s="27" t="str">
        <f>IFERROR(IF(Tabla3[[#This Row],[OEE]]&lt;&gt;"No",Tabla3[[#This Row],[OEE]]/Tabla3[[#This Row],[Disponibilidad]],""),0)</f>
        <v/>
      </c>
    </row>
    <row r="129" spans="1:11" x14ac:dyDescent="0.25">
      <c r="A129" s="2">
        <v>45810</v>
      </c>
      <c r="B129" s="5">
        <f>SUMIFS('paradas-disp'!F:F,'paradas-disp'!A:A,Tabla3[[#This Row],[Fecha]])</f>
        <v>0</v>
      </c>
      <c r="D129" s="15">
        <f>IF(Tabla3[[#This Row],[Fecha]]&lt;53,"",IFERROR(((HOUR(Tabla3[[#This Row],[Horas]])*60+MINUTE(Tabla3[[#This Row],[Horas]]))/60)*$D$1,""))</f>
        <v>0</v>
      </c>
      <c r="E129" s="22" t="str">
        <f>IFERROR(Tabla3[[#This Row],[Cantidad producida]]/Tabla3[[#This Row],[Cantidad teórica]],"")</f>
        <v/>
      </c>
      <c r="F129" s="22">
        <f>IF(Tabla3[[#This Row],[Fecha]]&lt;53,"",IFERROR(Tabla3[[#This Row],[Horas]]/$F$1,""))</f>
        <v>0</v>
      </c>
      <c r="G129" s="15" t="str">
        <f>IF(Tabla3[[#This Row],[Disponibilidad]]="","",IF(Tabla3[[#This Row],[Disponibilidad]]&gt;1,"NO",""))</f>
        <v/>
      </c>
      <c r="H129" t="str">
        <f>IFERROR(IF(VLOOKUP(Tabla3[[#This Row],[Fecha]],Tabla1[[Día]:[P/LC/CF/CL]],5,FALSE)="LC","SI",""),"")</f>
        <v/>
      </c>
      <c r="I129" s="22" t="str">
        <f>IFERROR(Tabla3[[#This Row],[Disponibilidad]]*Tabla3[[#This Row],[Rendimiento]], IF(Tabla3[[#This Row],[LC]]="SI", 0, "No"))</f>
        <v>No</v>
      </c>
      <c r="J129" s="16" t="str">
        <f>IF(Tabla3[[#This Row],[OEE]]="No","",WEEKNUM(Tabla3[[#This Row],[Fecha]]))</f>
        <v/>
      </c>
      <c r="K129" s="27" t="str">
        <f>IFERROR(IF(Tabla3[[#This Row],[OEE]]&lt;&gt;"No",Tabla3[[#This Row],[OEE]]/Tabla3[[#This Row],[Disponibilidad]],""),0)</f>
        <v/>
      </c>
    </row>
    <row r="130" spans="1:11" x14ac:dyDescent="0.25">
      <c r="A130" s="2">
        <v>45811</v>
      </c>
      <c r="B130" s="5">
        <f>SUMIFS('paradas-disp'!F:F,'paradas-disp'!A:A,Tabla3[[#This Row],[Fecha]])</f>
        <v>0</v>
      </c>
      <c r="D130" s="15">
        <f>IF(Tabla3[[#This Row],[Fecha]]&lt;53,"",IFERROR(((HOUR(Tabla3[[#This Row],[Horas]])*60+MINUTE(Tabla3[[#This Row],[Horas]]))/60)*$D$1,""))</f>
        <v>0</v>
      </c>
      <c r="E130" s="22" t="str">
        <f>IFERROR(Tabla3[[#This Row],[Cantidad producida]]/Tabla3[[#This Row],[Cantidad teórica]],"")</f>
        <v/>
      </c>
      <c r="F130" s="22">
        <f>IF(Tabla3[[#This Row],[Fecha]]&lt;53,"",IFERROR(Tabla3[[#This Row],[Horas]]/$F$1,""))</f>
        <v>0</v>
      </c>
      <c r="G130" s="15" t="str">
        <f>IF(Tabla3[[#This Row],[Disponibilidad]]="","",IF(Tabla3[[#This Row],[Disponibilidad]]&gt;1,"NO",""))</f>
        <v/>
      </c>
      <c r="H130" t="s">
        <v>153</v>
      </c>
      <c r="I130" s="22">
        <f>IFERROR(Tabla3[[#This Row],[Disponibilidad]]*Tabla3[[#This Row],[Rendimiento]], IF(Tabla3[[#This Row],[LC]]="SI", 0, "No"))</f>
        <v>0</v>
      </c>
      <c r="J130" s="16">
        <f>IF(Tabla3[[#This Row],[OEE]]="No","",WEEKNUM(Tabla3[[#This Row],[Fecha]]))</f>
        <v>23</v>
      </c>
      <c r="K130" s="27">
        <f>IFERROR(IF(Tabla3[[#This Row],[OEE]]&lt;&gt;"No",Tabla3[[#This Row],[OEE]]/Tabla3[[#This Row],[Disponibilidad]],""),0)</f>
        <v>0</v>
      </c>
    </row>
    <row r="131" spans="1:11" x14ac:dyDescent="0.25">
      <c r="A131" s="2">
        <v>45812</v>
      </c>
      <c r="B131" s="5">
        <f>SUMIFS('paradas-disp'!F:F,'paradas-disp'!A:A,Tabla3[[#This Row],[Fecha]])</f>
        <v>0.16319444444444442</v>
      </c>
      <c r="C131">
        <f>1800+1300</f>
        <v>3100</v>
      </c>
      <c r="D131" s="15">
        <f>IF(Tabla3[[#This Row],[Fecha]]&lt;53,"",IFERROR(((HOUR(Tabla3[[#This Row],[Horas]])*60+MINUTE(Tabla3[[#This Row],[Horas]]))/60)*$D$1,""))</f>
        <v>7050</v>
      </c>
      <c r="E131" s="22">
        <f>IFERROR(Tabla3[[#This Row],[Cantidad producida]]/Tabla3[[#This Row],[Cantidad teórica]],"")</f>
        <v>0.43971631205673761</v>
      </c>
      <c r="F131" s="22">
        <f>IF(Tabla3[[#This Row],[Fecha]]&lt;53,"",IFERROR(Tabla3[[#This Row],[Horas]]/$F$1,""))</f>
        <v>0.26111111111111107</v>
      </c>
      <c r="G131" s="15" t="str">
        <f>IF(Tabla3[[#This Row],[Disponibilidad]]="","",IF(Tabla3[[#This Row],[Disponibilidad]]&gt;1,"NO",""))</f>
        <v/>
      </c>
      <c r="H131" t="str">
        <f>IFERROR(IF(VLOOKUP(Tabla3[[#This Row],[Fecha]],Tabla1[[Día]:[P/LC/CF/CL]],5,FALSE)="LC","SI",""),"")</f>
        <v/>
      </c>
      <c r="I131" s="22">
        <f>IFERROR(Tabla3[[#This Row],[Disponibilidad]]*Tabla3[[#This Row],[Rendimiento]], IF(Tabla3[[#This Row],[LC]]="SI", 0, "No"))</f>
        <v>0.1148148148148148</v>
      </c>
      <c r="J131" s="16">
        <f>IF(Tabla3[[#This Row],[OEE]]="No","",WEEKNUM(Tabla3[[#This Row],[Fecha]]))</f>
        <v>23</v>
      </c>
      <c r="K131" s="27">
        <f>IFERROR(IF(Tabla3[[#This Row],[OEE]]&lt;&gt;"No",Tabla3[[#This Row],[OEE]]/Tabla3[[#This Row],[Disponibilidad]],""),0)</f>
        <v>0.43971631205673761</v>
      </c>
    </row>
    <row r="132" spans="1:11" x14ac:dyDescent="0.25">
      <c r="A132" s="2">
        <v>45813</v>
      </c>
      <c r="B132" s="5">
        <f>SUMIFS('paradas-disp'!F:F,'paradas-disp'!A:A,Tabla3[[#This Row],[Fecha]])</f>
        <v>0.48611111111111122</v>
      </c>
      <c r="C132">
        <f>7452+5970+5634+3678</f>
        <v>22734</v>
      </c>
      <c r="D132" s="15">
        <f>IF(Tabla3[[#This Row],[Fecha]]&lt;53,"",IFERROR(((HOUR(Tabla3[[#This Row],[Horas]])*60+MINUTE(Tabla3[[#This Row],[Horas]]))/60)*$D$1,""))</f>
        <v>21000</v>
      </c>
      <c r="E132" s="22">
        <f>IFERROR(Tabla3[[#This Row],[Cantidad producida]]/Tabla3[[#This Row],[Cantidad teórica]],"")</f>
        <v>1.0825714285714285</v>
      </c>
      <c r="F132" s="22">
        <f>IF(Tabla3[[#This Row],[Fecha]]&lt;53,"",IFERROR(Tabla3[[#This Row],[Horas]]/$F$1,""))</f>
        <v>0.7777777777777779</v>
      </c>
      <c r="G132" s="15" t="str">
        <f>IF(Tabla3[[#This Row],[Disponibilidad]]="","",IF(Tabla3[[#This Row],[Disponibilidad]]&gt;1,"NO",""))</f>
        <v/>
      </c>
      <c r="H132" t="str">
        <f>IFERROR(IF(VLOOKUP(Tabla3[[#This Row],[Fecha]],Tabla1[[Día]:[P/LC/CF/CL]],5,FALSE)="LC","SI",""),"")</f>
        <v/>
      </c>
      <c r="I132" s="22">
        <f>IFERROR(Tabla3[[#This Row],[Disponibilidad]]*Tabla3[[#This Row],[Rendimiento]], IF(Tabla3[[#This Row],[LC]]="SI", 0, "No"))</f>
        <v>0.84200000000000008</v>
      </c>
      <c r="J132" s="16">
        <f>IF(Tabla3[[#This Row],[OEE]]="No","",WEEKNUM(Tabla3[[#This Row],[Fecha]]))</f>
        <v>23</v>
      </c>
      <c r="K132" s="27">
        <f>IFERROR(IF(Tabla3[[#This Row],[OEE]]&lt;&gt;"No",Tabla3[[#This Row],[OEE]]/Tabla3[[#This Row],[Disponibilidad]],""),0)</f>
        <v>1.0825714285714285</v>
      </c>
    </row>
    <row r="133" spans="1:11" x14ac:dyDescent="0.25">
      <c r="A133" s="2">
        <v>45814</v>
      </c>
      <c r="B133" s="5">
        <f>SUMIFS('paradas-disp'!F:F,'paradas-disp'!A:A,Tabla3[[#This Row],[Fecha]])</f>
        <v>0.34722222222222227</v>
      </c>
      <c r="C133">
        <f>8918+1002+8358+3219</f>
        <v>21497</v>
      </c>
      <c r="D133" s="15">
        <f>IF(Tabla3[[#This Row],[Fecha]]&lt;53,"",IFERROR(((HOUR(Tabla3[[#This Row],[Horas]])*60+MINUTE(Tabla3[[#This Row],[Horas]]))/60)*$D$1,""))</f>
        <v>15000.000000000002</v>
      </c>
      <c r="E133" s="22">
        <f>IFERROR(Tabla3[[#This Row],[Cantidad producida]]/Tabla3[[#This Row],[Cantidad teórica]],"")</f>
        <v>1.4331333333333331</v>
      </c>
      <c r="F133" s="22">
        <f>IF(Tabla3[[#This Row],[Fecha]]&lt;53,"",IFERROR(Tabla3[[#This Row],[Horas]]/$F$1,""))</f>
        <v>0.55555555555555558</v>
      </c>
      <c r="G133" s="15" t="str">
        <f>IF(Tabla3[[#This Row],[Disponibilidad]]="","",IF(Tabla3[[#This Row],[Disponibilidad]]&gt;1,"NO",""))</f>
        <v/>
      </c>
      <c r="H133" t="str">
        <f>IFERROR(IF(VLOOKUP(Tabla3[[#This Row],[Fecha]],Tabla1[[Día]:[P/LC/CF/CL]],5,FALSE)="LC","SI",""),"")</f>
        <v/>
      </c>
      <c r="I133" s="22">
        <f>IFERROR(Tabla3[[#This Row],[Disponibilidad]]*Tabla3[[#This Row],[Rendimiento]], IF(Tabla3[[#This Row],[LC]]="SI", 0, "No"))</f>
        <v>0.79618518518518511</v>
      </c>
      <c r="J133" s="16">
        <f>IF(Tabla3[[#This Row],[OEE]]="No","",WEEKNUM(Tabla3[[#This Row],[Fecha]]))</f>
        <v>23</v>
      </c>
      <c r="K133" s="27">
        <f>IFERROR(IF(Tabla3[[#This Row],[OEE]]&lt;&gt;"No",Tabla3[[#This Row],[OEE]]/Tabla3[[#This Row],[Disponibilidad]],""),0)</f>
        <v>1.4331333333333331</v>
      </c>
    </row>
    <row r="134" spans="1:11" x14ac:dyDescent="0.25">
      <c r="A134" s="2">
        <v>45815</v>
      </c>
      <c r="B134" s="5">
        <f>SUMIFS('paradas-disp'!F:F,'paradas-disp'!A:A,Tabla3[[#This Row],[Fecha]])</f>
        <v>0</v>
      </c>
      <c r="D134" s="15">
        <f>IF(Tabla3[[#This Row],[Fecha]]&lt;53,"",IFERROR(((HOUR(Tabla3[[#This Row],[Horas]])*60+MINUTE(Tabla3[[#This Row],[Horas]]))/60)*$D$1,""))</f>
        <v>0</v>
      </c>
      <c r="E134" s="22" t="str">
        <f>IFERROR(Tabla3[[#This Row],[Cantidad producida]]/Tabla3[[#This Row],[Cantidad teórica]],"")</f>
        <v/>
      </c>
      <c r="F134" s="22">
        <f>IF(Tabla3[[#This Row],[Fecha]]&lt;53,"",IFERROR(Tabla3[[#This Row],[Horas]]/$F$1,""))</f>
        <v>0</v>
      </c>
      <c r="G134" s="15" t="str">
        <f>IF(Tabla3[[#This Row],[Disponibilidad]]="","",IF(Tabla3[[#This Row],[Disponibilidad]]&gt;1,"NO",""))</f>
        <v/>
      </c>
      <c r="H134" t="str">
        <f>IFERROR(IF(VLOOKUP(Tabla3[[#This Row],[Fecha]],Tabla1[[Día]:[P/LC/CF/CL]],5,FALSE)="LC","SI",""),"")</f>
        <v/>
      </c>
      <c r="I134" s="22" t="str">
        <f>IFERROR(Tabla3[[#This Row],[Disponibilidad]]*Tabla3[[#This Row],[Rendimiento]], IF(Tabla3[[#This Row],[LC]]="SI", 0, "No"))</f>
        <v>No</v>
      </c>
      <c r="J134" s="16" t="str">
        <f>IF(Tabla3[[#This Row],[OEE]]="No","",WEEKNUM(Tabla3[[#This Row],[Fecha]]))</f>
        <v/>
      </c>
      <c r="K134" s="27" t="str">
        <f>IFERROR(IF(Tabla3[[#This Row],[OEE]]&lt;&gt;"No",Tabla3[[#This Row],[OEE]]/Tabla3[[#This Row],[Disponibilidad]],""),0)</f>
        <v/>
      </c>
    </row>
    <row r="135" spans="1:11" x14ac:dyDescent="0.25">
      <c r="A135" s="2">
        <v>45816</v>
      </c>
      <c r="B135" s="5">
        <f>SUMIFS('paradas-disp'!F:F,'paradas-disp'!A:A,Tabla3[[#This Row],[Fecha]])</f>
        <v>0</v>
      </c>
      <c r="D135" s="15">
        <f>IF(Tabla3[[#This Row],[Fecha]]&lt;53,"",IFERROR(((HOUR(Tabla3[[#This Row],[Horas]])*60+MINUTE(Tabla3[[#This Row],[Horas]]))/60)*$D$1,""))</f>
        <v>0</v>
      </c>
      <c r="E135" s="22" t="str">
        <f>IFERROR(Tabla3[[#This Row],[Cantidad producida]]/Tabla3[[#This Row],[Cantidad teórica]],"")</f>
        <v/>
      </c>
      <c r="F135" s="22">
        <f>IF(Tabla3[[#This Row],[Fecha]]&lt;53,"",IFERROR(Tabla3[[#This Row],[Horas]]/$F$1,""))</f>
        <v>0</v>
      </c>
      <c r="G135" s="15" t="str">
        <f>IF(Tabla3[[#This Row],[Disponibilidad]]="","",IF(Tabla3[[#This Row],[Disponibilidad]]&gt;1,"NO",""))</f>
        <v/>
      </c>
      <c r="H135" t="str">
        <f>IFERROR(IF(VLOOKUP(Tabla3[[#This Row],[Fecha]],Tabla1[[Día]:[P/LC/CF/CL]],5,FALSE)="LC","SI",""),"")</f>
        <v/>
      </c>
      <c r="I135" s="22" t="str">
        <f>IFERROR(Tabla3[[#This Row],[Disponibilidad]]*Tabla3[[#This Row],[Rendimiento]], IF(Tabla3[[#This Row],[LC]]="SI", 0, "No"))</f>
        <v>No</v>
      </c>
      <c r="J135" s="16" t="str">
        <f>IF(Tabla3[[#This Row],[OEE]]="No","",WEEKNUM(Tabla3[[#This Row],[Fecha]]))</f>
        <v/>
      </c>
      <c r="K135" s="27" t="str">
        <f>IFERROR(IF(Tabla3[[#This Row],[OEE]]&lt;&gt;"No",Tabla3[[#This Row],[OEE]]/Tabla3[[#This Row],[Disponibilidad]],""),0)</f>
        <v/>
      </c>
    </row>
    <row r="136" spans="1:11" x14ac:dyDescent="0.25">
      <c r="A136" s="2">
        <v>45817</v>
      </c>
      <c r="B136" s="5">
        <f>SUMIFS('paradas-disp'!F:F,'paradas-disp'!A:A,Tabla3[[#This Row],[Fecha]])</f>
        <v>0</v>
      </c>
      <c r="D136" s="15">
        <f>IF(Tabla3[[#This Row],[Fecha]]&lt;53,"",IFERROR(((HOUR(Tabla3[[#This Row],[Horas]])*60+MINUTE(Tabla3[[#This Row],[Horas]]))/60)*$D$1,""))</f>
        <v>0</v>
      </c>
      <c r="E136" s="22" t="str">
        <f>IFERROR(Tabla3[[#This Row],[Cantidad producida]]/Tabla3[[#This Row],[Cantidad teórica]],"")</f>
        <v/>
      </c>
      <c r="F136" s="22">
        <f>IF(Tabla3[[#This Row],[Fecha]]&lt;53,"",IFERROR(Tabla3[[#This Row],[Horas]]/$F$1,""))</f>
        <v>0</v>
      </c>
      <c r="G136" s="15" t="str">
        <f>IF(Tabla3[[#This Row],[Disponibilidad]]="","",IF(Tabla3[[#This Row],[Disponibilidad]]&gt;1,"NO",""))</f>
        <v/>
      </c>
      <c r="H136" t="str">
        <f>IFERROR(IF(VLOOKUP(Tabla3[[#This Row],[Fecha]],Tabla1[[Día]:[P/LC/CF/CL]],5,FALSE)="LC","SI",""),"")</f>
        <v>SI</v>
      </c>
      <c r="I136" s="22">
        <f>IFERROR(Tabla3[[#This Row],[Disponibilidad]]*Tabla3[[#This Row],[Rendimiento]], IF(Tabla3[[#This Row],[LC]]="SI", 0, "No"))</f>
        <v>0</v>
      </c>
      <c r="J136" s="16">
        <f>IF(Tabla3[[#This Row],[OEE]]="No","",WEEKNUM(Tabla3[[#This Row],[Fecha]]))</f>
        <v>24</v>
      </c>
      <c r="K136" s="27">
        <f>IFERROR(IF(Tabla3[[#This Row],[OEE]]&lt;&gt;"No",Tabla3[[#This Row],[OEE]]/Tabla3[[#This Row],[Disponibilidad]],""),0)</f>
        <v>0</v>
      </c>
    </row>
    <row r="137" spans="1:11" x14ac:dyDescent="0.25">
      <c r="A137" s="2">
        <v>45818</v>
      </c>
      <c r="B137" s="5">
        <f>SUMIFS('paradas-disp'!F:F,'paradas-disp'!A:A,Tabla3[[#This Row],[Fecha]])</f>
        <v>0.36458333333333331</v>
      </c>
      <c r="C137">
        <f>1175+3817+4884</f>
        <v>9876</v>
      </c>
      <c r="D137" s="15">
        <f>IF(Tabla3[[#This Row],[Fecha]]&lt;53,"",IFERROR(((HOUR(Tabla3[[#This Row],[Horas]])*60+MINUTE(Tabla3[[#This Row],[Horas]]))/60)*$D$1,""))</f>
        <v>15750</v>
      </c>
      <c r="E137" s="22">
        <f>IFERROR(Tabla3[[#This Row],[Cantidad producida]]/Tabla3[[#This Row],[Cantidad teórica]],"")</f>
        <v>0.62704761904761908</v>
      </c>
      <c r="F137" s="22">
        <f>IF(Tabla3[[#This Row],[Fecha]]&lt;53,"",IFERROR(Tabla3[[#This Row],[Horas]]/$F$1,""))</f>
        <v>0.58333333333333326</v>
      </c>
      <c r="G137" s="15" t="str">
        <f>IF(Tabla3[[#This Row],[Disponibilidad]]="","",IF(Tabla3[[#This Row],[Disponibilidad]]&gt;1,"NO",""))</f>
        <v/>
      </c>
      <c r="H137" t="str">
        <f>IFERROR(IF(VLOOKUP(Tabla3[[#This Row],[Fecha]],Tabla1[[Día]:[P/LC/CF/CL]],5,FALSE)="LC","SI",""),"")</f>
        <v/>
      </c>
      <c r="I137" s="22">
        <f>IFERROR(Tabla3[[#This Row],[Disponibilidad]]*Tabla3[[#This Row],[Rendimiento]], IF(Tabla3[[#This Row],[LC]]="SI", 0, "No"))</f>
        <v>0.36577777777777776</v>
      </c>
      <c r="J137" s="16">
        <f>IF(Tabla3[[#This Row],[OEE]]="No","",WEEKNUM(Tabla3[[#This Row],[Fecha]]))</f>
        <v>24</v>
      </c>
      <c r="K137" s="27">
        <f>IFERROR(IF(Tabla3[[#This Row],[OEE]]&lt;&gt;"No",Tabla3[[#This Row],[OEE]]/Tabla3[[#This Row],[Disponibilidad]],""),0)</f>
        <v>0.62704761904761908</v>
      </c>
    </row>
    <row r="138" spans="1:11" x14ac:dyDescent="0.25">
      <c r="A138" s="2">
        <v>45819</v>
      </c>
      <c r="B138" s="5">
        <f>SUMIFS('paradas-disp'!F:F,'paradas-disp'!A:A,Tabla3[[#This Row],[Fecha]])</f>
        <v>0.4861111111111111</v>
      </c>
      <c r="C138">
        <f>10068+10116</f>
        <v>20184</v>
      </c>
      <c r="D138" s="15">
        <f>IF(Tabla3[[#This Row],[Fecha]]&lt;53,"",IFERROR(((HOUR(Tabla3[[#This Row],[Horas]])*60+MINUTE(Tabla3[[#This Row],[Horas]]))/60)*$D$1,""))</f>
        <v>21000</v>
      </c>
      <c r="E138" s="22">
        <f>IFERROR(Tabla3[[#This Row],[Cantidad producida]]/Tabla3[[#This Row],[Cantidad teórica]],"")</f>
        <v>0.96114285714285719</v>
      </c>
      <c r="F138" s="22">
        <f>IF(Tabla3[[#This Row],[Fecha]]&lt;53,"",IFERROR(Tabla3[[#This Row],[Horas]]/$F$1,""))</f>
        <v>0.77777777777777779</v>
      </c>
      <c r="G138" s="15" t="str">
        <f>IF(Tabla3[[#This Row],[Disponibilidad]]="","",IF(Tabla3[[#This Row],[Disponibilidad]]&gt;1,"NO",""))</f>
        <v/>
      </c>
      <c r="H138" t="str">
        <f>IFERROR(IF(VLOOKUP(Tabla3[[#This Row],[Fecha]],Tabla1[[Día]:[P/LC/CF/CL]],5,FALSE)="LC","SI",""),"")</f>
        <v/>
      </c>
      <c r="I138" s="22">
        <f>IFERROR(Tabla3[[#This Row],[Disponibilidad]]*Tabla3[[#This Row],[Rendimiento]], IF(Tabla3[[#This Row],[LC]]="SI", 0, "No"))</f>
        <v>0.74755555555555564</v>
      </c>
      <c r="J138" s="16">
        <f>IF(Tabla3[[#This Row],[OEE]]="No","",WEEKNUM(Tabla3[[#This Row],[Fecha]]))</f>
        <v>24</v>
      </c>
      <c r="K138" s="27">
        <f>IFERROR(IF(Tabla3[[#This Row],[OEE]]&lt;&gt;"No",Tabla3[[#This Row],[OEE]]/Tabla3[[#This Row],[Disponibilidad]],""),0)</f>
        <v>0.96114285714285719</v>
      </c>
    </row>
    <row r="139" spans="1:11" x14ac:dyDescent="0.25">
      <c r="A139" s="2">
        <v>45820</v>
      </c>
      <c r="B139" s="5">
        <f>SUMIFS('paradas-disp'!F:F,'paradas-disp'!A:A,Tabla3[[#This Row],[Fecha]])</f>
        <v>0.48472222222222217</v>
      </c>
      <c r="C139">
        <f>10116+576+9792</f>
        <v>20484</v>
      </c>
      <c r="D139" s="15">
        <f>IF(Tabla3[[#This Row],[Fecha]]&lt;53,"",IFERROR(((HOUR(Tabla3[[#This Row],[Horas]])*60+MINUTE(Tabla3[[#This Row],[Horas]]))/60)*$D$1,""))</f>
        <v>20940</v>
      </c>
      <c r="E139" s="22">
        <f>IFERROR(Tabla3[[#This Row],[Cantidad producida]]/Tabla3[[#This Row],[Cantidad teórica]],"")</f>
        <v>0.97822349570200573</v>
      </c>
      <c r="F139" s="22">
        <f>IF(Tabla3[[#This Row],[Fecha]]&lt;53,"",IFERROR(Tabla3[[#This Row],[Horas]]/$F$1,""))</f>
        <v>0.77555555555555544</v>
      </c>
      <c r="G139" s="15" t="str">
        <f>IF(Tabla3[[#This Row],[Disponibilidad]]="","",IF(Tabla3[[#This Row],[Disponibilidad]]&gt;1,"NO",""))</f>
        <v/>
      </c>
      <c r="H139" t="str">
        <f>IFERROR(IF(VLOOKUP(Tabla3[[#This Row],[Fecha]],Tabla1[[Día]:[P/LC/CF/CL]],5,FALSE)="LC","SI",""),"")</f>
        <v/>
      </c>
      <c r="I139" s="22">
        <f>IFERROR(Tabla3[[#This Row],[Disponibilidad]]*Tabla3[[#This Row],[Rendimiento]], IF(Tabla3[[#This Row],[LC]]="SI", 0, "No"))</f>
        <v>0.7586666666666666</v>
      </c>
      <c r="J139" s="16">
        <f>IF(Tabla3[[#This Row],[OEE]]="No","",WEEKNUM(Tabla3[[#This Row],[Fecha]]))</f>
        <v>24</v>
      </c>
      <c r="K139" s="27">
        <f>IFERROR(IF(Tabla3[[#This Row],[OEE]]&lt;&gt;"No",Tabla3[[#This Row],[OEE]]/Tabla3[[#This Row],[Disponibilidad]],""),0)</f>
        <v>0.97822349570200584</v>
      </c>
    </row>
    <row r="140" spans="1:11" x14ac:dyDescent="0.25">
      <c r="A140" s="2">
        <v>45821</v>
      </c>
      <c r="B140" s="5">
        <f>SUMIFS('paradas-disp'!F:F,'paradas-disp'!A:A,Tabla3[[#This Row],[Fecha]])</f>
        <v>0</v>
      </c>
      <c r="D140" s="15">
        <f>IF(Tabla3[[#This Row],[Fecha]]&lt;53,"",IFERROR(((HOUR(Tabla3[[#This Row],[Horas]])*60+MINUTE(Tabla3[[#This Row],[Horas]]))/60)*$D$1,""))</f>
        <v>0</v>
      </c>
      <c r="E140" s="22" t="str">
        <f>IFERROR(Tabla3[[#This Row],[Cantidad producida]]/Tabla3[[#This Row],[Cantidad teórica]],"")</f>
        <v/>
      </c>
      <c r="F140" s="22">
        <f>IF(Tabla3[[#This Row],[Fecha]]&lt;53,"",IFERROR(Tabla3[[#This Row],[Horas]]/$F$1,""))</f>
        <v>0</v>
      </c>
      <c r="G140" s="15" t="str">
        <f>IF(Tabla3[[#This Row],[Disponibilidad]]="","",IF(Tabla3[[#This Row],[Disponibilidad]]&gt;1,"NO",""))</f>
        <v/>
      </c>
      <c r="H140" t="s">
        <v>154</v>
      </c>
      <c r="I140" s="22">
        <f>IFERROR(Tabla3[[#This Row],[Disponibilidad]]*Tabla3[[#This Row],[Rendimiento]], IF(Tabla3[[#This Row],[LC]]="SI", 0, "No"))</f>
        <v>0</v>
      </c>
      <c r="J140" s="16">
        <f>IF(Tabla3[[#This Row],[OEE]]="No","",WEEKNUM(Tabla3[[#This Row],[Fecha]]))</f>
        <v>24</v>
      </c>
      <c r="K140" s="27">
        <f>IFERROR(IF(Tabla3[[#This Row],[OEE]]&lt;&gt;"No",Tabla3[[#This Row],[OEE]]/Tabla3[[#This Row],[Disponibilidad]],""),0)</f>
        <v>0</v>
      </c>
    </row>
    <row r="141" spans="1:11" x14ac:dyDescent="0.25">
      <c r="A141" s="2">
        <v>45822</v>
      </c>
      <c r="B141" s="5">
        <f>SUMIFS('paradas-disp'!F:F,'paradas-disp'!A:A,Tabla3[[#This Row],[Fecha]])</f>
        <v>0</v>
      </c>
      <c r="D141" s="15">
        <f>IF(Tabla3[[#This Row],[Fecha]]&lt;53,"",IFERROR(((HOUR(Tabla3[[#This Row],[Horas]])*60+MINUTE(Tabla3[[#This Row],[Horas]]))/60)*$D$1,""))</f>
        <v>0</v>
      </c>
      <c r="E141" s="22" t="str">
        <f>IFERROR(Tabla3[[#This Row],[Cantidad producida]]/Tabla3[[#This Row],[Cantidad teórica]],"")</f>
        <v/>
      </c>
      <c r="F141" s="22">
        <f>IF(Tabla3[[#This Row],[Fecha]]&lt;53,"",IFERROR(Tabla3[[#This Row],[Horas]]/$F$1,""))</f>
        <v>0</v>
      </c>
      <c r="G141" s="15" t="str">
        <f>IF(Tabla3[[#This Row],[Disponibilidad]]="","",IF(Tabla3[[#This Row],[Disponibilidad]]&gt;1,"NO",""))</f>
        <v/>
      </c>
      <c r="H141" t="str">
        <f>IFERROR(IF(VLOOKUP(Tabla3[[#This Row],[Fecha]],Tabla1[[Día]:[P/LC/CF/CL]],5,FALSE)="LC","SI",""),"")</f>
        <v/>
      </c>
      <c r="I141" s="22" t="str">
        <f>IFERROR(Tabla3[[#This Row],[Disponibilidad]]*Tabla3[[#This Row],[Rendimiento]], IF(Tabla3[[#This Row],[LC]]="SI", 0, "No"))</f>
        <v>No</v>
      </c>
      <c r="J141" s="16" t="str">
        <f>IF(Tabla3[[#This Row],[OEE]]="No","",WEEKNUM(Tabla3[[#This Row],[Fecha]]))</f>
        <v/>
      </c>
      <c r="K141" s="27" t="str">
        <f>IFERROR(IF(Tabla3[[#This Row],[OEE]]&lt;&gt;"No",Tabla3[[#This Row],[OEE]]/Tabla3[[#This Row],[Disponibilidad]],""),0)</f>
        <v/>
      </c>
    </row>
    <row r="142" spans="1:11" x14ac:dyDescent="0.25">
      <c r="A142" s="2">
        <v>45823</v>
      </c>
      <c r="B142" s="5">
        <f>SUMIFS('paradas-disp'!F:F,'paradas-disp'!A:A,Tabla3[[#This Row],[Fecha]])</f>
        <v>0</v>
      </c>
      <c r="D142" s="15">
        <f>IF(Tabla3[[#This Row],[Fecha]]&lt;53,"",IFERROR(((HOUR(Tabla3[[#This Row],[Horas]])*60+MINUTE(Tabla3[[#This Row],[Horas]]))/60)*$D$1,""))</f>
        <v>0</v>
      </c>
      <c r="E142" s="22" t="str">
        <f>IFERROR(Tabla3[[#This Row],[Cantidad producida]]/Tabla3[[#This Row],[Cantidad teórica]],"")</f>
        <v/>
      </c>
      <c r="F142" s="22">
        <f>IF(Tabla3[[#This Row],[Fecha]]&lt;53,"",IFERROR(Tabla3[[#This Row],[Horas]]/$F$1,""))</f>
        <v>0</v>
      </c>
      <c r="G142" s="15" t="str">
        <f>IF(Tabla3[[#This Row],[Disponibilidad]]="","",IF(Tabla3[[#This Row],[Disponibilidad]]&gt;1,"NO",""))</f>
        <v/>
      </c>
      <c r="H142" t="str">
        <f>IFERROR(IF(VLOOKUP(Tabla3[[#This Row],[Fecha]],Tabla1[[Día]:[P/LC/CF/CL]],5,FALSE)="LC","SI",""),"")</f>
        <v/>
      </c>
      <c r="I142" s="22" t="str">
        <f>IFERROR(Tabla3[[#This Row],[Disponibilidad]]*Tabla3[[#This Row],[Rendimiento]], IF(Tabla3[[#This Row],[LC]]="SI", 0, "No"))</f>
        <v>No</v>
      </c>
      <c r="J142" s="16" t="str">
        <f>IF(Tabla3[[#This Row],[OEE]]="No","",WEEKNUM(Tabla3[[#This Row],[Fecha]]))</f>
        <v/>
      </c>
      <c r="K142" s="27" t="str">
        <f>IFERROR(IF(Tabla3[[#This Row],[OEE]]&lt;&gt;"No",Tabla3[[#This Row],[OEE]]/Tabla3[[#This Row],[Disponibilidad]],""),0)</f>
        <v/>
      </c>
    </row>
    <row r="143" spans="1:11" x14ac:dyDescent="0.25">
      <c r="A143" s="2">
        <v>45824</v>
      </c>
      <c r="B143" s="5">
        <f>SUMIFS('paradas-disp'!F:F,'paradas-disp'!A:A,Tabla3[[#This Row],[Fecha]])</f>
        <v>0</v>
      </c>
      <c r="D143" s="15">
        <f>IF(Tabla3[[#This Row],[Fecha]]&lt;53,"",IFERROR(((HOUR(Tabla3[[#This Row],[Horas]])*60+MINUTE(Tabla3[[#This Row],[Horas]]))/60)*$D$1,""))</f>
        <v>0</v>
      </c>
      <c r="E143" s="22" t="str">
        <f>IFERROR(Tabla3[[#This Row],[Cantidad producida]]/Tabla3[[#This Row],[Cantidad teórica]],"")</f>
        <v/>
      </c>
      <c r="F143" s="22">
        <f>IF(Tabla3[[#This Row],[Fecha]]&lt;53,"",IFERROR(Tabla3[[#This Row],[Horas]]/$F$1,""))</f>
        <v>0</v>
      </c>
      <c r="G143" s="15" t="str">
        <f>IF(Tabla3[[#This Row],[Disponibilidad]]="","",IF(Tabla3[[#This Row],[Disponibilidad]]&gt;1,"NO",""))</f>
        <v/>
      </c>
      <c r="H143" t="str">
        <f>IFERROR(IF(VLOOKUP(Tabla3[[#This Row],[Fecha]],Tabla1[[Día]:[P/LC/CF/CL]],5,FALSE)="LC","SI",""),"")</f>
        <v/>
      </c>
      <c r="I143" s="22" t="str">
        <f>IFERROR(Tabla3[[#This Row],[Disponibilidad]]*Tabla3[[#This Row],[Rendimiento]], IF(Tabla3[[#This Row],[LC]]="SI", 0, "No"))</f>
        <v>No</v>
      </c>
      <c r="J143" s="16" t="str">
        <f>IF(Tabla3[[#This Row],[OEE]]="No","",WEEKNUM(Tabla3[[#This Row],[Fecha]]))</f>
        <v/>
      </c>
      <c r="K143" s="27" t="str">
        <f>IFERROR(IF(Tabla3[[#This Row],[OEE]]&lt;&gt;"No",Tabla3[[#This Row],[OEE]]/Tabla3[[#This Row],[Disponibilidad]],""),0)</f>
        <v/>
      </c>
    </row>
    <row r="144" spans="1:11" x14ac:dyDescent="0.25">
      <c r="A144" s="2">
        <v>45825</v>
      </c>
      <c r="B144" s="5">
        <f>SUMIFS('paradas-disp'!F:F,'paradas-disp'!A:A,Tabla3[[#This Row],[Fecha]])</f>
        <v>0.20833333333333326</v>
      </c>
      <c r="C144">
        <v>4216</v>
      </c>
      <c r="D144" s="15">
        <f>IF(Tabla3[[#This Row],[Fecha]]&lt;53,"",IFERROR(((HOUR(Tabla3[[#This Row],[Horas]])*60+MINUTE(Tabla3[[#This Row],[Horas]]))/60)*$D$1,""))</f>
        <v>9000</v>
      </c>
      <c r="E144" s="22">
        <f>IFERROR(Tabla3[[#This Row],[Cantidad producida]]/Tabla3[[#This Row],[Cantidad teórica]],"")</f>
        <v>0.46844444444444444</v>
      </c>
      <c r="F144" s="22">
        <f>IF(Tabla3[[#This Row],[Fecha]]&lt;53,"",IFERROR(Tabla3[[#This Row],[Horas]]/$F$1,""))</f>
        <v>0.3333333333333332</v>
      </c>
      <c r="G144" s="15" t="str">
        <f>IF(Tabla3[[#This Row],[Disponibilidad]]="","",IF(Tabla3[[#This Row],[Disponibilidad]]&gt;1,"NO",""))</f>
        <v/>
      </c>
      <c r="H144" t="str">
        <f>IFERROR(IF(VLOOKUP(Tabla3[[#This Row],[Fecha]],Tabla1[[Día]:[P/LC/CF/CL]],5,FALSE)="LC","SI",""),"")</f>
        <v/>
      </c>
      <c r="I144" s="22">
        <f>IFERROR(Tabla3[[#This Row],[Disponibilidad]]*Tabla3[[#This Row],[Rendimiento]], IF(Tabla3[[#This Row],[LC]]="SI", 0, "No"))</f>
        <v>0.15614814814814809</v>
      </c>
      <c r="J144" s="16">
        <f>IF(Tabla3[[#This Row],[OEE]]="No","",WEEKNUM(Tabla3[[#This Row],[Fecha]]))</f>
        <v>25</v>
      </c>
      <c r="K144" s="27">
        <f>IFERROR(IF(Tabla3[[#This Row],[OEE]]&lt;&gt;"No",Tabla3[[#This Row],[OEE]]/Tabla3[[#This Row],[Disponibilidad]],""),0)</f>
        <v>0.46844444444444444</v>
      </c>
    </row>
    <row r="145" spans="1:12" x14ac:dyDescent="0.25">
      <c r="A145" s="2">
        <v>45826</v>
      </c>
      <c r="B145" s="5">
        <f>SUMIFS('paradas-disp'!F:F,'paradas-disp'!A:A,Tabla3[[#This Row],[Fecha]])</f>
        <v>0.45486111111111105</v>
      </c>
      <c r="C145">
        <f>1184+6630+9927</f>
        <v>17741</v>
      </c>
      <c r="D145" s="15">
        <f>IF(Tabla3[[#This Row],[Fecha]]&lt;53,"",IFERROR(((HOUR(Tabla3[[#This Row],[Horas]])*60+MINUTE(Tabla3[[#This Row],[Horas]]))/60)*$D$1,""))</f>
        <v>19650</v>
      </c>
      <c r="E145" s="22">
        <f>IFERROR(Tabla3[[#This Row],[Cantidad producida]]/Tabla3[[#This Row],[Cantidad teórica]],"")</f>
        <v>0.9028498727735369</v>
      </c>
      <c r="F145" s="22">
        <f>IF(Tabla3[[#This Row],[Fecha]]&lt;53,"",IFERROR(Tabla3[[#This Row],[Horas]]/$F$1,""))</f>
        <v>0.72777777777777763</v>
      </c>
      <c r="G145" s="15" t="str">
        <f>IF(Tabla3[[#This Row],[Disponibilidad]]="","",IF(Tabla3[[#This Row],[Disponibilidad]]&gt;1,"NO",""))</f>
        <v/>
      </c>
      <c r="H145" t="str">
        <f>IFERROR(IF(VLOOKUP(Tabla3[[#This Row],[Fecha]],Tabla1[[Día]:[P/LC/CF/CL]],5,FALSE)="LC","SI",""),"")</f>
        <v/>
      </c>
      <c r="I145" s="22">
        <f>IFERROR(Tabla3[[#This Row],[Disponibilidad]]*Tabla3[[#This Row],[Rendimiento]], IF(Tabla3[[#This Row],[LC]]="SI", 0, "No"))</f>
        <v>0.65707407407407392</v>
      </c>
      <c r="J145" s="16">
        <f>IF(Tabla3[[#This Row],[OEE]]="No","",WEEKNUM(Tabla3[[#This Row],[Fecha]]))</f>
        <v>25</v>
      </c>
      <c r="K145" s="27">
        <f>IFERROR(IF(Tabla3[[#This Row],[OEE]]&lt;&gt;"No",Tabla3[[#This Row],[OEE]]/Tabla3[[#This Row],[Disponibilidad]],""),0)</f>
        <v>0.9028498727735369</v>
      </c>
      <c r="L145">
        <f>93.44/2</f>
        <v>46.72</v>
      </c>
    </row>
    <row r="146" spans="1:12" x14ac:dyDescent="0.25">
      <c r="A146" s="2">
        <v>45827</v>
      </c>
      <c r="B146" s="5">
        <f>SUMIFS('paradas-disp'!F:F,'paradas-disp'!A:A,Tabla3[[#This Row],[Fecha]])</f>
        <v>0</v>
      </c>
      <c r="D146" s="15">
        <f>IF(Tabla3[[#This Row],[Fecha]]&lt;53,"",IFERROR(((HOUR(Tabla3[[#This Row],[Horas]])*60+MINUTE(Tabla3[[#This Row],[Horas]]))/60)*$D$1,""))</f>
        <v>0</v>
      </c>
      <c r="E146" s="22" t="str">
        <f>IFERROR(Tabla3[[#This Row],[Cantidad producida]]/Tabla3[[#This Row],[Cantidad teórica]],"")</f>
        <v/>
      </c>
      <c r="F146" s="22">
        <f>IF(Tabla3[[#This Row],[Fecha]]&lt;53,"",IFERROR(Tabla3[[#This Row],[Horas]]/$F$1,""))</f>
        <v>0</v>
      </c>
      <c r="G146" s="15" t="str">
        <f>IF(Tabla3[[#This Row],[Disponibilidad]]="","",IF(Tabla3[[#This Row],[Disponibilidad]]&gt;1,"NO",""))</f>
        <v/>
      </c>
      <c r="I146" s="22"/>
      <c r="J146" s="16">
        <f>IF(Tabla3[[#This Row],[OEE]]="No","",WEEKNUM(Tabla3[[#This Row],[Fecha]]))</f>
        <v>25</v>
      </c>
      <c r="K146" s="27">
        <f>IFERROR(IF(Tabla3[[#This Row],[OEE]]&lt;&gt;"No",Tabla3[[#This Row],[OEE]]/Tabla3[[#This Row],[Disponibilidad]],""),0)</f>
        <v>0</v>
      </c>
      <c r="L146">
        <v>6.56</v>
      </c>
    </row>
    <row r="147" spans="1:12" x14ac:dyDescent="0.25">
      <c r="A147" s="2">
        <v>45828</v>
      </c>
      <c r="B147" s="5">
        <f>SUMIFS('paradas-disp'!F:F,'paradas-disp'!A:A,Tabla3[[#This Row],[Fecha]])</f>
        <v>0</v>
      </c>
      <c r="D147" s="15">
        <f>IF(Tabla3[[#This Row],[Fecha]]&lt;53,"",IFERROR(((HOUR(Tabla3[[#This Row],[Horas]])*60+MINUTE(Tabla3[[#This Row],[Horas]]))/60)*$D$1,""))</f>
        <v>0</v>
      </c>
      <c r="E147" s="22" t="str">
        <f>IFERROR(Tabla3[[#This Row],[Cantidad producida]]/Tabla3[[#This Row],[Cantidad teórica]],"")</f>
        <v/>
      </c>
      <c r="F147" s="22">
        <f>IF(Tabla3[[#This Row],[Fecha]]&lt;53,"",IFERROR(Tabla3[[#This Row],[Horas]]/$F$1,""))</f>
        <v>0</v>
      </c>
      <c r="G147" s="15" t="str">
        <f>IF(Tabla3[[#This Row],[Disponibilidad]]="","",IF(Tabla3[[#This Row],[Disponibilidad]]&gt;1,"NO",""))</f>
        <v/>
      </c>
      <c r="H147" t="str">
        <f>IFERROR(IF(VLOOKUP(Tabla3[[#This Row],[Fecha]],Tabla1[[Día]:[P/LC/CF/CL]],5,FALSE)="LC","SI",""),"")</f>
        <v>SI</v>
      </c>
      <c r="I147" s="22">
        <v>0.26</v>
      </c>
      <c r="J147" s="16">
        <f>IF(Tabla3[[#This Row],[OEE]]="No","",WEEKNUM(Tabla3[[#This Row],[Fecha]]))</f>
        <v>25</v>
      </c>
      <c r="K147" s="27">
        <f>IFERROR(IF(Tabla3[[#This Row],[OEE]]&lt;&gt;"No",Tabla3[[#This Row],[OEE]]/Tabla3[[#This Row],[Disponibilidad]],""),0)</f>
        <v>0</v>
      </c>
      <c r="L147">
        <f>L145*I145</f>
        <v>30.698500740740734</v>
      </c>
    </row>
    <row r="148" spans="1:12" x14ac:dyDescent="0.25">
      <c r="A148" s="2">
        <v>45829</v>
      </c>
      <c r="B148" s="5">
        <f>SUMIFS('paradas-disp'!F:F,'paradas-disp'!A:A,Tabla3[[#This Row],[Fecha]])</f>
        <v>0</v>
      </c>
      <c r="C148" s="15">
        <f>SUMIFS('paradas-disp'!I:I,'paradas-disp'!A:A,Tabla3[[#This Row],[Fecha]])</f>
        <v>0</v>
      </c>
      <c r="D148" s="15">
        <f>IF(Tabla3[[#This Row],[Fecha]]&lt;53,"",IFERROR(((HOUR(Tabla3[[#This Row],[Horas]])*60+MINUTE(Tabla3[[#This Row],[Horas]]))/60)*$D$1,""))</f>
        <v>0</v>
      </c>
      <c r="E148" s="22" t="str">
        <f>IFERROR(Tabla3[[#This Row],[Cantidad producida]]/Tabla3[[#This Row],[Cantidad teórica]],"")</f>
        <v/>
      </c>
      <c r="F148" s="22">
        <f>IF(Tabla3[[#This Row],[Fecha]]&lt;53,"",IFERROR(Tabla3[[#This Row],[Horas]]/$F$1,""))</f>
        <v>0</v>
      </c>
      <c r="G148" s="15" t="str">
        <f>IF(Tabla3[[#This Row],[Disponibilidad]]="","",IF(Tabla3[[#This Row],[Disponibilidad]]&gt;1,"NO",""))</f>
        <v/>
      </c>
      <c r="H148" t="str">
        <f>IFERROR(IF(VLOOKUP(Tabla3[[#This Row],[Fecha]],Tabla1[[Día]:[P/LC/CF/CL]],5,FALSE)="LC","SI",""),"")</f>
        <v/>
      </c>
      <c r="I148" s="22" t="str">
        <f>IFERROR(Tabla3[[#This Row],[Disponibilidad]]*Tabla3[[#This Row],[Rendimiento]], IF(Tabla3[[#This Row],[LC]]="SI", 0, "No"))</f>
        <v>No</v>
      </c>
      <c r="J148" s="16" t="str">
        <f>IF(Tabla3[[#This Row],[OEE]]="No","",WEEKNUM(Tabla3[[#This Row],[Fecha]]))</f>
        <v/>
      </c>
      <c r="K148" s="27" t="str">
        <f>IFERROR(IF(Tabla3[[#This Row],[OEE]]&lt;&gt;"No",Tabla3[[#This Row],[OEE]]/Tabla3[[#This Row],[Disponibilidad]],""),0)</f>
        <v/>
      </c>
      <c r="L148">
        <f>L147*3</f>
        <v>92.095502222222194</v>
      </c>
    </row>
    <row r="149" spans="1:12" x14ac:dyDescent="0.25">
      <c r="A149" s="2">
        <v>45830</v>
      </c>
      <c r="B149" s="5">
        <f>SUMIFS('paradas-disp'!F:F,'paradas-disp'!A:A,Tabla3[[#This Row],[Fecha]])</f>
        <v>0</v>
      </c>
      <c r="C149" s="15">
        <f>SUMIFS('paradas-disp'!I:I,'paradas-disp'!A:A,Tabla3[[#This Row],[Fecha]])</f>
        <v>0</v>
      </c>
      <c r="D149" s="15">
        <f>IF(Tabla3[[#This Row],[Fecha]]&lt;53,"",IFERROR(((HOUR(Tabla3[[#This Row],[Horas]])*60+MINUTE(Tabla3[[#This Row],[Horas]]))/60)*$D$1,""))</f>
        <v>0</v>
      </c>
      <c r="E149" s="22" t="str">
        <f>IFERROR(Tabla3[[#This Row],[Cantidad producida]]/Tabla3[[#This Row],[Cantidad teórica]],"")</f>
        <v/>
      </c>
      <c r="F149" s="22">
        <f>IF(Tabla3[[#This Row],[Fecha]]&lt;53,"",IFERROR(Tabla3[[#This Row],[Horas]]/$F$1,""))</f>
        <v>0</v>
      </c>
      <c r="G149" s="15" t="str">
        <f>IF(Tabla3[[#This Row],[Disponibilidad]]="","",IF(Tabla3[[#This Row],[Disponibilidad]]&gt;1,"NO",""))</f>
        <v/>
      </c>
      <c r="H149" t="str">
        <f>IFERROR(IF(VLOOKUP(Tabla3[[#This Row],[Fecha]],Tabla1[[Día]:[P/LC/CF/CL]],5,FALSE)="LC","SI",""),"")</f>
        <v/>
      </c>
      <c r="I149" s="22" t="str">
        <f>IFERROR(Tabla3[[#This Row],[Disponibilidad]]*Tabla3[[#This Row],[Rendimiento]], IF(Tabla3[[#This Row],[LC]]="SI", 0, "No"))</f>
        <v>No</v>
      </c>
      <c r="J149" s="16" t="str">
        <f>IF(Tabla3[[#This Row],[OEE]]="No","",WEEKNUM(Tabla3[[#This Row],[Fecha]]))</f>
        <v/>
      </c>
      <c r="K149" s="27" t="str">
        <f>IFERROR(IF(Tabla3[[#This Row],[OEE]]&lt;&gt;"No",Tabla3[[#This Row],[OEE]]/Tabla3[[#This Row],[Disponibilidad]],""),0)</f>
        <v/>
      </c>
      <c r="L149">
        <f>L148-66</f>
        <v>26.095502222222194</v>
      </c>
    </row>
    <row r="150" spans="1:12" x14ac:dyDescent="0.25">
      <c r="A150" s="2">
        <v>45831</v>
      </c>
      <c r="B150" s="5">
        <f>SUMIFS('paradas-disp'!F:F,'paradas-disp'!A:A,Tabla3[[#This Row],[Fecha]])</f>
        <v>0</v>
      </c>
      <c r="C150" s="15">
        <f>SUMIFS('paradas-disp'!I:I,'paradas-disp'!A:A,Tabla3[[#This Row],[Fecha]])</f>
        <v>0</v>
      </c>
      <c r="D150" s="15">
        <f>IF(Tabla3[[#This Row],[Fecha]]&lt;53,"",IFERROR(((HOUR(Tabla3[[#This Row],[Horas]])*60+MINUTE(Tabla3[[#This Row],[Horas]]))/60)*$D$1,""))</f>
        <v>0</v>
      </c>
      <c r="E150" s="22" t="str">
        <f>IFERROR(Tabla3[[#This Row],[Cantidad producida]]/Tabla3[[#This Row],[Cantidad teórica]],"")</f>
        <v/>
      </c>
      <c r="F150" s="22">
        <f>IF(Tabla3[[#This Row],[Fecha]]&lt;53,"",IFERROR(Tabla3[[#This Row],[Horas]]/$F$1,""))</f>
        <v>0</v>
      </c>
      <c r="G150" s="15" t="str">
        <f>IF(Tabla3[[#This Row],[Disponibilidad]]="","",IF(Tabla3[[#This Row],[Disponibilidad]]&gt;1,"NO",""))</f>
        <v/>
      </c>
      <c r="H150" t="str">
        <f>IFERROR(IF(VLOOKUP(Tabla3[[#This Row],[Fecha]],Tabla1[[Día]:[P/LC/CF/CL]],5,FALSE)="LC","SI",""),"")</f>
        <v/>
      </c>
      <c r="I150" s="22" t="str">
        <f>IFERROR(Tabla3[[#This Row],[Disponibilidad]]*Tabla3[[#This Row],[Rendimiento]], IF(Tabla3[[#This Row],[LC]]="SI", 0, "No"))</f>
        <v>No</v>
      </c>
      <c r="J150" s="16" t="str">
        <f>IF(Tabla3[[#This Row],[OEE]]="No","",WEEKNUM(Tabla3[[#This Row],[Fecha]]))</f>
        <v/>
      </c>
      <c r="K150" s="27" t="str">
        <f>IFERROR(IF(Tabla3[[#This Row],[OEE]]&lt;&gt;"No",Tabla3[[#This Row],[OEE]]/Tabla3[[#This Row],[Disponibilidad]],""),0)</f>
        <v/>
      </c>
    </row>
    <row r="151" spans="1:12" x14ac:dyDescent="0.25">
      <c r="A151" s="2">
        <v>45832</v>
      </c>
      <c r="B151" s="5">
        <f>SUMIFS('paradas-disp'!F:F,'paradas-disp'!A:A,Tabla3[[#This Row],[Fecha]])</f>
        <v>0</v>
      </c>
      <c r="C151" s="15">
        <f>SUMIFS('paradas-disp'!I:I,'paradas-disp'!A:A,Tabla3[[#This Row],[Fecha]])</f>
        <v>0</v>
      </c>
      <c r="D151" s="15">
        <f>IF(Tabla3[[#This Row],[Fecha]]&lt;53,"",IFERROR(((HOUR(Tabla3[[#This Row],[Horas]])*60+MINUTE(Tabla3[[#This Row],[Horas]]))/60)*$D$1,""))</f>
        <v>0</v>
      </c>
      <c r="E151" s="22" t="str">
        <f>IFERROR(Tabla3[[#This Row],[Cantidad producida]]/Tabla3[[#This Row],[Cantidad teórica]],"")</f>
        <v/>
      </c>
      <c r="F151" s="22">
        <f>IF(Tabla3[[#This Row],[Fecha]]&lt;53,"",IFERROR(Tabla3[[#This Row],[Horas]]/$F$1,""))</f>
        <v>0</v>
      </c>
      <c r="G151" s="15" t="str">
        <f>IF(Tabla3[[#This Row],[Disponibilidad]]="","",IF(Tabla3[[#This Row],[Disponibilidad]]&gt;1,"NO",""))</f>
        <v/>
      </c>
      <c r="H151" t="str">
        <f>IFERROR(IF(VLOOKUP(Tabla3[[#This Row],[Fecha]],Tabla1[[Día]:[P/LC/CF/CL]],5,FALSE)="LC","SI",""),"")</f>
        <v/>
      </c>
      <c r="I151" s="22" t="str">
        <f>IFERROR(Tabla3[[#This Row],[Disponibilidad]]*Tabla3[[#This Row],[Rendimiento]], IF(Tabla3[[#This Row],[LC]]="SI", 0, "No"))</f>
        <v>No</v>
      </c>
      <c r="J151" s="16" t="str">
        <f>IF(Tabla3[[#This Row],[OEE]]="No","",WEEKNUM(Tabla3[[#This Row],[Fecha]]))</f>
        <v/>
      </c>
      <c r="K151" s="27" t="str">
        <f>IFERROR(IF(Tabla3[[#This Row],[OEE]]&lt;&gt;"No",Tabla3[[#This Row],[OEE]]/Tabla3[[#This Row],[Disponibilidad]],""),0)</f>
        <v/>
      </c>
    </row>
    <row r="152" spans="1:12" x14ac:dyDescent="0.25">
      <c r="A152" s="2">
        <v>45833</v>
      </c>
      <c r="B152" s="5">
        <f>SUMIFS('paradas-disp'!F:F,'paradas-disp'!A:A,Tabla3[[#This Row],[Fecha]])</f>
        <v>0.53819444444444442</v>
      </c>
      <c r="C152" s="15">
        <f>SUMIFS('paradas-disp'!I:I,'paradas-disp'!A:A,Tabla3[[#This Row],[Fecha]])</f>
        <v>9582</v>
      </c>
      <c r="D152" s="15">
        <f>IF(Tabla3[[#This Row],[Fecha]]&lt;53,"",IFERROR(((HOUR(Tabla3[[#This Row],[Horas]])*60+MINUTE(Tabla3[[#This Row],[Horas]]))/60)*$D$1,""))</f>
        <v>23250</v>
      </c>
      <c r="E152" s="22">
        <f>IFERROR(Tabla3[[#This Row],[Cantidad producida]]/Tabla3[[#This Row],[Cantidad teórica]],"")</f>
        <v>0.41212903225806452</v>
      </c>
      <c r="F152" s="22">
        <f>IF(Tabla3[[#This Row],[Fecha]]&lt;53,"",IFERROR(Tabla3[[#This Row],[Horas]]/$F$1,""))</f>
        <v>0.86111111111111105</v>
      </c>
      <c r="G152" s="15" t="str">
        <f>IF(Tabla3[[#This Row],[Disponibilidad]]="","",IF(Tabla3[[#This Row],[Disponibilidad]]&gt;1,"NO",""))</f>
        <v/>
      </c>
      <c r="H152" t="str">
        <f>IFERROR(IF(VLOOKUP(Tabla3[[#This Row],[Fecha]],Tabla1[[Día]:[P/LC/CF/CL]],5,FALSE)="LC","SI",""),"")</f>
        <v/>
      </c>
      <c r="I152" s="22">
        <f>IFERROR(Tabla3[[#This Row],[Disponibilidad]]*Tabla3[[#This Row],[Rendimiento]], IF(Tabla3[[#This Row],[LC]]="SI", 0, "No"))</f>
        <v>0.35488888888888886</v>
      </c>
      <c r="J152" s="16">
        <f>IF(Tabla3[[#This Row],[OEE]]="No","",WEEKNUM(Tabla3[[#This Row],[Fecha]]))</f>
        <v>26</v>
      </c>
      <c r="K152" s="27">
        <f>IFERROR(IF(Tabla3[[#This Row],[OEE]]&lt;&gt;"No",Tabla3[[#This Row],[OEE]]/Tabla3[[#This Row],[Disponibilidad]],""),0)</f>
        <v>0.41212903225806452</v>
      </c>
    </row>
    <row r="153" spans="1:12" x14ac:dyDescent="0.25">
      <c r="A153" s="2">
        <v>45834</v>
      </c>
      <c r="B153" s="5">
        <f>SUMIFS('paradas-disp'!F:F,'paradas-disp'!A:A,Tabla3[[#This Row],[Fecha]])</f>
        <v>0.52083333333333326</v>
      </c>
      <c r="C153" s="15">
        <f>SUMIFS('paradas-disp'!I:I,'paradas-disp'!A:A,Tabla3[[#This Row],[Fecha]])</f>
        <v>10722</v>
      </c>
      <c r="D153" s="15">
        <f>IF(Tabla3[[#This Row],[Fecha]]&lt;53,"",IFERROR(((HOUR(Tabla3[[#This Row],[Horas]])*60+MINUTE(Tabla3[[#This Row],[Horas]]))/60)*$D$1,""))</f>
        <v>22500</v>
      </c>
      <c r="E153" s="22">
        <f>IFERROR(Tabla3[[#This Row],[Cantidad producida]]/Tabla3[[#This Row],[Cantidad teórica]],"")</f>
        <v>0.47653333333333331</v>
      </c>
      <c r="F153" s="22">
        <f>IF(Tabla3[[#This Row],[Fecha]]&lt;53,"",IFERROR(Tabla3[[#This Row],[Horas]]/$F$1,""))</f>
        <v>0.83333333333333326</v>
      </c>
      <c r="G153" s="15" t="str">
        <f>IF(Tabla3[[#This Row],[Disponibilidad]]="","",IF(Tabla3[[#This Row],[Disponibilidad]]&gt;1,"NO",""))</f>
        <v/>
      </c>
      <c r="H153" t="str">
        <f>IFERROR(IF(VLOOKUP(Tabla3[[#This Row],[Fecha]],Tabla1[[Día]:[P/LC/CF/CL]],5,FALSE)="LC","SI",""),"")</f>
        <v/>
      </c>
      <c r="I153" s="22">
        <f>IFERROR(Tabla3[[#This Row],[Disponibilidad]]*Tabla3[[#This Row],[Rendimiento]], IF(Tabla3[[#This Row],[LC]]="SI", 0, "No"))</f>
        <v>0.39711111111111108</v>
      </c>
      <c r="J153" s="16">
        <f>IF(Tabla3[[#This Row],[OEE]]="No","",WEEKNUM(Tabla3[[#This Row],[Fecha]]))</f>
        <v>26</v>
      </c>
      <c r="K153" s="27">
        <f>IFERROR(IF(Tabla3[[#This Row],[OEE]]&lt;&gt;"No",Tabla3[[#This Row],[OEE]]/Tabla3[[#This Row],[Disponibilidad]],""),0)</f>
        <v>0.47653333333333336</v>
      </c>
    </row>
    <row r="154" spans="1:12" x14ac:dyDescent="0.25">
      <c r="A154" s="2">
        <v>45835</v>
      </c>
      <c r="B154" s="5">
        <f>SUMIFS('paradas-disp'!F:F,'paradas-disp'!A:A,Tabla3[[#This Row],[Fecha]])</f>
        <v>0.49305555555555547</v>
      </c>
      <c r="C154" s="15">
        <f>SUMIFS('paradas-disp'!I:I,'paradas-disp'!A:A,Tabla3[[#This Row],[Fecha]])</f>
        <v>13198</v>
      </c>
      <c r="D154" s="15">
        <f>IF(Tabla3[[#This Row],[Fecha]]&lt;53,"",IFERROR(((HOUR(Tabla3[[#This Row],[Horas]])*60+MINUTE(Tabla3[[#This Row],[Horas]]))/60)*$D$1,""))</f>
        <v>21300</v>
      </c>
      <c r="E154" s="22">
        <f>IFERROR(Tabla3[[#This Row],[Cantidad producida]]/Tabla3[[#This Row],[Cantidad teórica]],"")</f>
        <v>0.61962441314553995</v>
      </c>
      <c r="F154" s="22">
        <f>IF(Tabla3[[#This Row],[Fecha]]&lt;53,"",IFERROR(Tabla3[[#This Row],[Horas]]/$F$1,""))</f>
        <v>0.78888888888888875</v>
      </c>
      <c r="G154" s="15" t="str">
        <f>IF(Tabla3[[#This Row],[Disponibilidad]]="","",IF(Tabla3[[#This Row],[Disponibilidad]]&gt;1,"NO",""))</f>
        <v/>
      </c>
      <c r="H154" t="str">
        <f>IFERROR(IF(VLOOKUP(Tabla3[[#This Row],[Fecha]],Tabla1[[Día]:[P/LC/CF/CL]],5,FALSE)="LC","SI",""),"")</f>
        <v/>
      </c>
      <c r="I154" s="22">
        <f>IFERROR(Tabla3[[#This Row],[Disponibilidad]]*Tabla3[[#This Row],[Rendimiento]], IF(Tabla3[[#This Row],[LC]]="SI", 0, "No"))</f>
        <v>0.48881481481481476</v>
      </c>
      <c r="J154" s="16">
        <f>IF(Tabla3[[#This Row],[OEE]]="No","",WEEKNUM(Tabla3[[#This Row],[Fecha]]))</f>
        <v>26</v>
      </c>
      <c r="K154" s="27">
        <f>IFERROR(IF(Tabla3[[#This Row],[OEE]]&lt;&gt;"No",Tabla3[[#This Row],[OEE]]/Tabla3[[#This Row],[Disponibilidad]],""),0)</f>
        <v>0.61962441314553995</v>
      </c>
    </row>
    <row r="155" spans="1:12" x14ac:dyDescent="0.25">
      <c r="A155" s="2">
        <v>45836</v>
      </c>
      <c r="B155" s="5">
        <f>SUMIFS('paradas-disp'!F:F,'paradas-disp'!A:A,Tabla3[[#This Row],[Fecha]])</f>
        <v>0</v>
      </c>
      <c r="C155" s="15">
        <f>SUMIFS('paradas-disp'!I:I,'paradas-disp'!A:A,Tabla3[[#This Row],[Fecha]])</f>
        <v>0</v>
      </c>
      <c r="D155" s="15">
        <f>IF(Tabla3[[#This Row],[Fecha]]&lt;53,"",IFERROR(((HOUR(Tabla3[[#This Row],[Horas]])*60+MINUTE(Tabla3[[#This Row],[Horas]]))/60)*$D$1,""))</f>
        <v>0</v>
      </c>
      <c r="E155" s="22" t="str">
        <f>IFERROR(Tabla3[[#This Row],[Cantidad producida]]/Tabla3[[#This Row],[Cantidad teórica]],"")</f>
        <v/>
      </c>
      <c r="F155" s="22">
        <f>IF(Tabla3[[#This Row],[Fecha]]&lt;53,"",IFERROR(Tabla3[[#This Row],[Horas]]/$F$1,""))</f>
        <v>0</v>
      </c>
      <c r="G155" s="15" t="str">
        <f>IF(Tabla3[[#This Row],[Disponibilidad]]="","",IF(Tabla3[[#This Row],[Disponibilidad]]&gt;1,"NO",""))</f>
        <v/>
      </c>
      <c r="H155" t="str">
        <f>IFERROR(IF(VLOOKUP(Tabla3[[#This Row],[Fecha]],Tabla1[[Día]:[P/LC/CF/CL]],5,FALSE)="LC","SI",""),"")</f>
        <v/>
      </c>
      <c r="I155" s="22" t="str">
        <f>IFERROR(Tabla3[[#This Row],[Disponibilidad]]*Tabla3[[#This Row],[Rendimiento]], IF(Tabla3[[#This Row],[LC]]="SI", 0, "No"))</f>
        <v>No</v>
      </c>
      <c r="J155" s="16" t="str">
        <f>IF(Tabla3[[#This Row],[OEE]]="No","",WEEKNUM(Tabla3[[#This Row],[Fecha]]))</f>
        <v/>
      </c>
      <c r="K155" s="27" t="str">
        <f>IFERROR(IF(Tabla3[[#This Row],[OEE]]&lt;&gt;"No",Tabla3[[#This Row],[OEE]]/Tabla3[[#This Row],[Disponibilidad]],""),0)</f>
        <v/>
      </c>
    </row>
    <row r="156" spans="1:12" x14ac:dyDescent="0.25">
      <c r="A156" s="2">
        <v>45837</v>
      </c>
      <c r="B156" s="5">
        <f>SUMIFS('paradas-disp'!F:F,'paradas-disp'!A:A,Tabla3[[#This Row],[Fecha]])</f>
        <v>0</v>
      </c>
      <c r="C156" s="15">
        <f>SUMIFS('paradas-disp'!I:I,'paradas-disp'!A:A,Tabla3[[#This Row],[Fecha]])</f>
        <v>0</v>
      </c>
      <c r="D156" s="15">
        <f>IF(Tabla3[[#This Row],[Fecha]]&lt;53,"",IFERROR(((HOUR(Tabla3[[#This Row],[Horas]])*60+MINUTE(Tabla3[[#This Row],[Horas]]))/60)*$D$1,""))</f>
        <v>0</v>
      </c>
      <c r="E156" s="22" t="str">
        <f>IFERROR(Tabla3[[#This Row],[Cantidad producida]]/Tabla3[[#This Row],[Cantidad teórica]],"")</f>
        <v/>
      </c>
      <c r="F156" s="22">
        <f>IF(Tabla3[[#This Row],[Fecha]]&lt;53,"",IFERROR(Tabla3[[#This Row],[Horas]]/$F$1,""))</f>
        <v>0</v>
      </c>
      <c r="G156" s="15" t="str">
        <f>IF(Tabla3[[#This Row],[Disponibilidad]]="","",IF(Tabla3[[#This Row],[Disponibilidad]]&gt;1,"NO",""))</f>
        <v/>
      </c>
      <c r="H156" t="str">
        <f>IFERROR(IF(VLOOKUP(Tabla3[[#This Row],[Fecha]],Tabla1[[Día]:[P/LC/CF/CL]],5,FALSE)="LC","SI",""),"")</f>
        <v/>
      </c>
      <c r="I156" s="22" t="str">
        <f>IFERROR(Tabla3[[#This Row],[Disponibilidad]]*Tabla3[[#This Row],[Rendimiento]], IF(Tabla3[[#This Row],[LC]]="SI", 0, "No"))</f>
        <v>No</v>
      </c>
      <c r="J156" s="16" t="str">
        <f>IF(Tabla3[[#This Row],[OEE]]="No","",WEEKNUM(Tabla3[[#This Row],[Fecha]]))</f>
        <v/>
      </c>
      <c r="K156" s="27" t="str">
        <f>IFERROR(IF(Tabla3[[#This Row],[OEE]]&lt;&gt;"No",Tabla3[[#This Row],[OEE]]/Tabla3[[#This Row],[Disponibilidad]],""),0)</f>
        <v/>
      </c>
    </row>
    <row r="157" spans="1:12" x14ac:dyDescent="0.25">
      <c r="A157" s="2">
        <v>45838</v>
      </c>
      <c r="B157" s="5">
        <f>SUMIFS('paradas-disp'!F:F,'paradas-disp'!A:A,Tabla3[[#This Row],[Fecha]])</f>
        <v>0.55208333333333348</v>
      </c>
      <c r="C157" s="15">
        <f>SUMIFS('paradas-disp'!I:I,'paradas-disp'!A:A,Tabla3[[#This Row],[Fecha]])</f>
        <v>7916</v>
      </c>
      <c r="D157" s="15">
        <f>IF(Tabla3[[#This Row],[Fecha]]&lt;53,"",IFERROR(((HOUR(Tabla3[[#This Row],[Horas]])*60+MINUTE(Tabla3[[#This Row],[Horas]]))/60)*$D$1,""))</f>
        <v>23850</v>
      </c>
      <c r="E157" s="22">
        <f>IFERROR(Tabla3[[#This Row],[Cantidad producida]]/Tabla3[[#This Row],[Cantidad teórica]],"")</f>
        <v>0.33190775681341717</v>
      </c>
      <c r="F157" s="22">
        <f>IF(Tabla3[[#This Row],[Fecha]]&lt;53,"",IFERROR(Tabla3[[#This Row],[Horas]]/$F$1,""))</f>
        <v>0.88333333333333353</v>
      </c>
      <c r="G157" s="15" t="str">
        <f>IF(Tabla3[[#This Row],[Disponibilidad]]="","",IF(Tabla3[[#This Row],[Disponibilidad]]&gt;1,"NO",""))</f>
        <v/>
      </c>
      <c r="H157" t="str">
        <f>IFERROR(IF(VLOOKUP(Tabla3[[#This Row],[Fecha]],Tabla1[[Día]:[P/LC/CF/CL]],5,FALSE)="LC","SI",""),"")</f>
        <v/>
      </c>
      <c r="I157" s="22">
        <f>IFERROR(Tabla3[[#This Row],[Disponibilidad]]*Tabla3[[#This Row],[Rendimiento]], IF(Tabla3[[#This Row],[LC]]="SI", 0, "No"))</f>
        <v>0.29318518518518522</v>
      </c>
      <c r="J157" s="16">
        <f>IF(Tabla3[[#This Row],[OEE]]="No","",WEEKNUM(Tabla3[[#This Row],[Fecha]]))</f>
        <v>27</v>
      </c>
      <c r="K157" s="27">
        <f>IFERROR(IF(Tabla3[[#This Row],[OEE]]&lt;&gt;"No",Tabla3[[#This Row],[OEE]]/Tabla3[[#This Row],[Disponibilidad]],""),0)</f>
        <v>0.33190775681341717</v>
      </c>
    </row>
    <row r="158" spans="1:12" x14ac:dyDescent="0.25">
      <c r="A158" s="2">
        <v>45839</v>
      </c>
      <c r="B158" s="5">
        <f>SUMIFS('paradas-disp'!F:F,'paradas-disp'!A:A,Tabla3[[#This Row],[Fecha]])</f>
        <v>0.35069444444444453</v>
      </c>
      <c r="C158" s="15">
        <f>SUMIFS('paradas-disp'!I:I,'paradas-disp'!A:A,Tabla3[[#This Row],[Fecha]])</f>
        <v>10712</v>
      </c>
      <c r="D158" s="15">
        <f>IF(Tabla3[[#This Row],[Fecha]]&lt;53,"",IFERROR(((HOUR(Tabla3[[#This Row],[Horas]])*60+MINUTE(Tabla3[[#This Row],[Horas]]))/60)*$D$1,""))</f>
        <v>15149.999999999998</v>
      </c>
      <c r="E158" s="22">
        <f>IFERROR(Tabla3[[#This Row],[Cantidad producida]]/Tabla3[[#This Row],[Cantidad teórica]],"")</f>
        <v>0.70706270627062717</v>
      </c>
      <c r="F158" s="22">
        <f>IF(Tabla3[[#This Row],[Fecha]]&lt;53,"",IFERROR(Tabla3[[#This Row],[Horas]]/$F$1,""))</f>
        <v>0.56111111111111123</v>
      </c>
      <c r="G158" s="15" t="str">
        <f>IF(Tabla3[[#This Row],[Disponibilidad]]="","",IF(Tabla3[[#This Row],[Disponibilidad]]&gt;1,"NO",""))</f>
        <v/>
      </c>
      <c r="H158" t="str">
        <f>IFERROR(IF(VLOOKUP(Tabla3[[#This Row],[Fecha]],Tabla1[[Día]:[P/LC/CF/CL]],5,FALSE)="LC","SI",""),"")</f>
        <v/>
      </c>
      <c r="I158" s="22">
        <f>IFERROR(Tabla3[[#This Row],[Disponibilidad]]*Tabla3[[#This Row],[Rendimiento]], IF(Tabla3[[#This Row],[LC]]="SI", 0, "No"))</f>
        <v>0.39674074074074089</v>
      </c>
      <c r="J158" s="16">
        <f>IF(Tabla3[[#This Row],[OEE]]="No","",WEEKNUM(Tabla3[[#This Row],[Fecha]]))</f>
        <v>27</v>
      </c>
      <c r="K158" s="27">
        <f>IFERROR(IF(Tabla3[[#This Row],[OEE]]&lt;&gt;"No",Tabla3[[#This Row],[OEE]]/Tabla3[[#This Row],[Disponibilidad]],""),0)</f>
        <v>0.70706270627062717</v>
      </c>
    </row>
    <row r="159" spans="1:12" x14ac:dyDescent="0.25">
      <c r="A159" s="2">
        <v>45840</v>
      </c>
      <c r="B159" s="5">
        <f>SUMIFS('paradas-disp'!F:F,'paradas-disp'!A:A,Tabla3[[#This Row],[Fecha]])</f>
        <v>0.51041666666666663</v>
      </c>
      <c r="C159" s="15">
        <f>SUMIFS('paradas-disp'!I:I,'paradas-disp'!A:A,Tabla3[[#This Row],[Fecha]])</f>
        <v>11700</v>
      </c>
      <c r="D159" s="15">
        <f>IF(Tabla3[[#This Row],[Fecha]]&lt;53,"",IFERROR(((HOUR(Tabla3[[#This Row],[Horas]])*60+MINUTE(Tabla3[[#This Row],[Horas]]))/60)*$D$1,""))</f>
        <v>22050</v>
      </c>
      <c r="E159" s="22">
        <f>IFERROR(Tabla3[[#This Row],[Cantidad producida]]/Tabla3[[#This Row],[Cantidad teórica]],"")</f>
        <v>0.53061224489795922</v>
      </c>
      <c r="F159" s="22">
        <f>IF(Tabla3[[#This Row],[Fecha]]&lt;53,"",IFERROR(Tabla3[[#This Row],[Horas]]/$F$1,""))</f>
        <v>0.81666666666666665</v>
      </c>
      <c r="G159" s="15" t="str">
        <f>IF(Tabla3[[#This Row],[Disponibilidad]]="","",IF(Tabla3[[#This Row],[Disponibilidad]]&gt;1,"NO",""))</f>
        <v/>
      </c>
      <c r="H159" t="str">
        <f>IFERROR(IF(VLOOKUP(Tabla3[[#This Row],[Fecha]],Tabla1[[Día]:[P/LC/CF/CL]],5,FALSE)="LC","SI",""),"")</f>
        <v/>
      </c>
      <c r="I159" s="22">
        <f>IFERROR(Tabla3[[#This Row],[Disponibilidad]]*Tabla3[[#This Row],[Rendimiento]], IF(Tabla3[[#This Row],[LC]]="SI", 0, "No"))</f>
        <v>0.43333333333333335</v>
      </c>
      <c r="J159" s="16">
        <f>IF(Tabla3[[#This Row],[OEE]]="No","",WEEKNUM(Tabla3[[#This Row],[Fecha]]))</f>
        <v>27</v>
      </c>
      <c r="K159" s="27">
        <f>IFERROR(IF(Tabla3[[#This Row],[OEE]]&lt;&gt;"No",Tabla3[[#This Row],[OEE]]/Tabla3[[#This Row],[Disponibilidad]],""),0)</f>
        <v>0.53061224489795922</v>
      </c>
    </row>
    <row r="160" spans="1:12" x14ac:dyDescent="0.25">
      <c r="A160" s="2">
        <v>45841</v>
      </c>
      <c r="B160" s="5">
        <f>SUMIFS('paradas-disp'!F:F,'paradas-disp'!A:A,Tabla3[[#This Row],[Fecha]])</f>
        <v>0.52083333333333326</v>
      </c>
      <c r="C160" s="15">
        <f>SUMIFS('paradas-disp'!I:I,'paradas-disp'!A:A,Tabla3[[#This Row],[Fecha]])</f>
        <v>12984</v>
      </c>
      <c r="D160" s="15">
        <f>IF(Tabla3[[#This Row],[Fecha]]&lt;53,"",IFERROR(((HOUR(Tabla3[[#This Row],[Horas]])*60+MINUTE(Tabla3[[#This Row],[Horas]]))/60)*$D$1,""))</f>
        <v>22500</v>
      </c>
      <c r="E160" s="22">
        <f>IFERROR(Tabla3[[#This Row],[Cantidad producida]]/Tabla3[[#This Row],[Cantidad teórica]],"")</f>
        <v>0.57706666666666662</v>
      </c>
      <c r="F160" s="22">
        <f>IF(Tabla3[[#This Row],[Fecha]]&lt;53,"",IFERROR(Tabla3[[#This Row],[Horas]]/$F$1,""))</f>
        <v>0.83333333333333326</v>
      </c>
      <c r="G160" s="15" t="str">
        <f>IF(Tabla3[[#This Row],[Disponibilidad]]="","",IF(Tabla3[[#This Row],[Disponibilidad]]&gt;1,"NO",""))</f>
        <v/>
      </c>
      <c r="H160" t="str">
        <f>IFERROR(IF(VLOOKUP(Tabla3[[#This Row],[Fecha]],Tabla1[[Día]:[P/LC/CF/CL]],5,FALSE)="LC","SI",""),"")</f>
        <v/>
      </c>
      <c r="I160" s="22">
        <f>IFERROR(Tabla3[[#This Row],[Disponibilidad]]*Tabla3[[#This Row],[Rendimiento]], IF(Tabla3[[#This Row],[LC]]="SI", 0, "No"))</f>
        <v>0.48088888888888881</v>
      </c>
      <c r="J160" s="16">
        <f>IF(Tabla3[[#This Row],[OEE]]="No","",WEEKNUM(Tabla3[[#This Row],[Fecha]]))</f>
        <v>27</v>
      </c>
      <c r="K160" s="27">
        <f>IFERROR(IF(Tabla3[[#This Row],[OEE]]&lt;&gt;"No",Tabla3[[#This Row],[OEE]]/Tabla3[[#This Row],[Disponibilidad]],""),0)</f>
        <v>0.57706666666666662</v>
      </c>
    </row>
    <row r="161" spans="1:12" x14ac:dyDescent="0.25">
      <c r="A161" s="2">
        <v>45842</v>
      </c>
      <c r="B161" s="5">
        <f>SUMIFS('paradas-disp'!F:F,'paradas-disp'!A:A,Tabla3[[#This Row],[Fecha]])</f>
        <v>0.25</v>
      </c>
      <c r="C161" s="15">
        <f>SUMIFS('paradas-disp'!I:I,'paradas-disp'!A:A,Tabla3[[#This Row],[Fecha]])</f>
        <v>7140</v>
      </c>
      <c r="D161" s="15">
        <f>IF(Tabla3[[#This Row],[Fecha]]&lt;53,"",IFERROR(((HOUR(Tabla3[[#This Row],[Horas]])*60+MINUTE(Tabla3[[#This Row],[Horas]]))/60)*$D$1,""))</f>
        <v>10800</v>
      </c>
      <c r="E161" s="22">
        <f>IFERROR(Tabla3[[#This Row],[Cantidad producida]]/Tabla3[[#This Row],[Cantidad teórica]],"")</f>
        <v>0.66111111111111109</v>
      </c>
      <c r="F161" s="22">
        <f>IF(Tabla3[[#This Row],[Fecha]]&lt;53,"",IFERROR(Tabla3[[#This Row],[Horas]]/$F$1,""))</f>
        <v>0.4</v>
      </c>
      <c r="G161" s="15" t="str">
        <f>IF(Tabla3[[#This Row],[Disponibilidad]]="","",IF(Tabla3[[#This Row],[Disponibilidad]]&gt;1,"NO",""))</f>
        <v/>
      </c>
      <c r="H161" t="str">
        <f>IFERROR(IF(VLOOKUP(Tabla3[[#This Row],[Fecha]],Tabla1[[Día]:[P/LC/CF/CL]],5,FALSE)="LC","SI",""),"")</f>
        <v/>
      </c>
      <c r="I161" s="22">
        <f>IFERROR(Tabla3[[#This Row],[Disponibilidad]]*Tabla3[[#This Row],[Rendimiento]], IF(Tabla3[[#This Row],[LC]]="SI", 0, "No"))</f>
        <v>0.26444444444444443</v>
      </c>
      <c r="J161" s="16">
        <f>IF(Tabla3[[#This Row],[OEE]]="No","",WEEKNUM(Tabla3[[#This Row],[Fecha]]))</f>
        <v>27</v>
      </c>
      <c r="K161" s="27">
        <f>IFERROR(IF(Tabla3[[#This Row],[OEE]]&lt;&gt;"No",Tabla3[[#This Row],[OEE]]/Tabla3[[#This Row],[Disponibilidad]],""),0)</f>
        <v>0.66111111111111098</v>
      </c>
    </row>
    <row r="162" spans="1:12" x14ac:dyDescent="0.25">
      <c r="A162" s="2">
        <v>45843</v>
      </c>
      <c r="B162" s="5">
        <f>SUMIFS('paradas-disp'!F:F,'paradas-disp'!A:A,Tabla3[[#This Row],[Fecha]])</f>
        <v>0</v>
      </c>
      <c r="C162" s="15">
        <f>SUMIFS('paradas-disp'!I:I,'paradas-disp'!A:A,Tabla3[[#This Row],[Fecha]])</f>
        <v>0</v>
      </c>
      <c r="D162" s="15">
        <f>IF(Tabla3[[#This Row],[Fecha]]&lt;53,"",IFERROR(((HOUR(Tabla3[[#This Row],[Horas]])*60+MINUTE(Tabla3[[#This Row],[Horas]]))/60)*$D$1,""))</f>
        <v>0</v>
      </c>
      <c r="E162" s="22" t="str">
        <f>IFERROR(Tabla3[[#This Row],[Cantidad producida]]/Tabla3[[#This Row],[Cantidad teórica]],"")</f>
        <v/>
      </c>
      <c r="F162" s="22">
        <f>IF(Tabla3[[#This Row],[Fecha]]&lt;53,"",IFERROR(Tabla3[[#This Row],[Horas]]/$F$1,""))</f>
        <v>0</v>
      </c>
      <c r="G162" s="15" t="str">
        <f>IF(Tabla3[[#This Row],[Disponibilidad]]="","",IF(Tabla3[[#This Row],[Disponibilidad]]&gt;1,"NO",""))</f>
        <v/>
      </c>
      <c r="H162" t="str">
        <f>IFERROR(IF(VLOOKUP(Tabla3[[#This Row],[Fecha]],Tabla1[[Día]:[P/LC/CF/CL]],5,FALSE)="LC","SI",""),"")</f>
        <v/>
      </c>
      <c r="I162" s="22" t="str">
        <f>IFERROR(Tabla3[[#This Row],[Disponibilidad]]*Tabla3[[#This Row],[Rendimiento]], IF(Tabla3[[#This Row],[LC]]="SI", 0, "No"))</f>
        <v>No</v>
      </c>
      <c r="J162" s="16" t="str">
        <f>IF(Tabla3[[#This Row],[OEE]]="No","",WEEKNUM(Tabla3[[#This Row],[Fecha]]))</f>
        <v/>
      </c>
      <c r="K162" s="27" t="str">
        <f>IFERROR(IF(Tabla3[[#This Row],[OEE]]&lt;&gt;"No",Tabla3[[#This Row],[OEE]]/Tabla3[[#This Row],[Disponibilidad]],""),0)</f>
        <v/>
      </c>
    </row>
    <row r="163" spans="1:12" x14ac:dyDescent="0.25">
      <c r="A163" s="2">
        <v>45844</v>
      </c>
      <c r="B163" s="5">
        <f>SUMIFS('paradas-disp'!F:F,'paradas-disp'!A:A,Tabla3[[#This Row],[Fecha]])</f>
        <v>0</v>
      </c>
      <c r="C163" s="15">
        <f>SUMIFS('paradas-disp'!I:I,'paradas-disp'!A:A,Tabla3[[#This Row],[Fecha]])</f>
        <v>0</v>
      </c>
      <c r="D163" s="15">
        <f>IF(Tabla3[[#This Row],[Fecha]]&lt;53,"",IFERROR(((HOUR(Tabla3[[#This Row],[Horas]])*60+MINUTE(Tabla3[[#This Row],[Horas]]))/60)*$D$1,""))</f>
        <v>0</v>
      </c>
      <c r="E163" s="22" t="str">
        <f>IFERROR(Tabla3[[#This Row],[Cantidad producida]]/Tabla3[[#This Row],[Cantidad teórica]],"")</f>
        <v/>
      </c>
      <c r="F163" s="22">
        <f>IF(Tabla3[[#This Row],[Fecha]]&lt;53,"",IFERROR(Tabla3[[#This Row],[Horas]]/$F$1,""))</f>
        <v>0</v>
      </c>
      <c r="G163" s="15" t="str">
        <f>IF(Tabla3[[#This Row],[Disponibilidad]]="","",IF(Tabla3[[#This Row],[Disponibilidad]]&gt;1,"NO",""))</f>
        <v/>
      </c>
      <c r="H163" t="str">
        <f>IFERROR(IF(VLOOKUP(Tabla3[[#This Row],[Fecha]],Tabla1[[Día]:[P/LC/CF/CL]],5,FALSE)="LC","SI",""),"")</f>
        <v/>
      </c>
      <c r="I163" s="22" t="str">
        <f>IFERROR(Tabla3[[#This Row],[Disponibilidad]]*Tabla3[[#This Row],[Rendimiento]], IF(Tabla3[[#This Row],[LC]]="SI", 0, "No"))</f>
        <v>No</v>
      </c>
      <c r="J163" s="16" t="str">
        <f>IF(Tabla3[[#This Row],[OEE]]="No","",WEEKNUM(Tabla3[[#This Row],[Fecha]]))</f>
        <v/>
      </c>
      <c r="K163" s="27" t="str">
        <f>IFERROR(IF(Tabla3[[#This Row],[OEE]]&lt;&gt;"No",Tabla3[[#This Row],[OEE]]/Tabla3[[#This Row],[Disponibilidad]],""),0)</f>
        <v/>
      </c>
    </row>
    <row r="164" spans="1:12" x14ac:dyDescent="0.25">
      <c r="A164" s="2">
        <v>45845</v>
      </c>
      <c r="B164" s="5">
        <f>SUMIFS('paradas-disp'!F:F,'paradas-disp'!A:A,Tabla3[[#This Row],[Fecha]])</f>
        <v>0.28125</v>
      </c>
      <c r="C164" s="15">
        <f>SUMIFS('paradas-disp'!I:I,'paradas-disp'!A:A,Tabla3[[#This Row],[Fecha]])</f>
        <v>10920</v>
      </c>
      <c r="D164" s="15">
        <f>IF(Tabla3[[#This Row],[Fecha]]&lt;53,"",IFERROR(((HOUR(Tabla3[[#This Row],[Horas]])*60+MINUTE(Tabla3[[#This Row],[Horas]]))/60)*$D$1,""))</f>
        <v>12150</v>
      </c>
      <c r="E164" s="22">
        <f>IFERROR(Tabla3[[#This Row],[Cantidad producida]]/Tabla3[[#This Row],[Cantidad teórica]],"")</f>
        <v>0.89876543209876547</v>
      </c>
      <c r="F164" s="22">
        <f>IF(Tabla3[[#This Row],[Fecha]]&lt;53,"",IFERROR(Tabla3[[#This Row],[Horas]]/$F$1,""))</f>
        <v>0.45</v>
      </c>
      <c r="G164" s="15" t="str">
        <f>IF(Tabla3[[#This Row],[Disponibilidad]]="","",IF(Tabla3[[#This Row],[Disponibilidad]]&gt;1,"NO",""))</f>
        <v/>
      </c>
      <c r="H164" t="str">
        <f>IFERROR(IF(VLOOKUP(Tabla3[[#This Row],[Fecha]],Tabla1[[Día]:[P/LC/CF/CL]],5,FALSE)="LC","SI",""),"")</f>
        <v/>
      </c>
      <c r="I164" s="22">
        <f>IFERROR(Tabla3[[#This Row],[Disponibilidad]]*Tabla3[[#This Row],[Rendimiento]], IF(Tabla3[[#This Row],[LC]]="SI", 0, "No"))</f>
        <v>0.4044444444444445</v>
      </c>
      <c r="J164" s="16">
        <f>IF(Tabla3[[#This Row],[OEE]]="No","",WEEKNUM(Tabla3[[#This Row],[Fecha]]))</f>
        <v>28</v>
      </c>
      <c r="K164" s="27">
        <f>IFERROR(IF(Tabla3[[#This Row],[OEE]]&lt;&gt;"No",Tabla3[[#This Row],[OEE]]/Tabla3[[#This Row],[Disponibilidad]],""),0)</f>
        <v>0.89876543209876547</v>
      </c>
    </row>
    <row r="165" spans="1:12" x14ac:dyDescent="0.25">
      <c r="A165" s="2">
        <v>45846</v>
      </c>
      <c r="B165" s="5">
        <f>SUMIFS('paradas-disp'!F:F,'paradas-disp'!A:A,Tabla3[[#This Row],[Fecha]])</f>
        <v>0.56597222222222232</v>
      </c>
      <c r="C165" s="15">
        <f>SUMIFS('paradas-disp'!I:I,'paradas-disp'!A:A,Tabla3[[#This Row],[Fecha]])</f>
        <v>20340</v>
      </c>
      <c r="D165" s="15">
        <f>IF(Tabla3[[#This Row],[Fecha]]&lt;53,"",IFERROR(((HOUR(Tabla3[[#This Row],[Horas]])*60+MINUTE(Tabla3[[#This Row],[Horas]]))/60)*$D$1,""))</f>
        <v>24450</v>
      </c>
      <c r="E165" s="22">
        <f>IFERROR(Tabla3[[#This Row],[Cantidad producida]]/Tabla3[[#This Row],[Cantidad teórica]],"")</f>
        <v>0.83190184049079752</v>
      </c>
      <c r="F165" s="22">
        <f>IF(Tabla3[[#This Row],[Fecha]]&lt;53,"",IFERROR(Tabla3[[#This Row],[Horas]]/$F$1,""))</f>
        <v>0.90555555555555567</v>
      </c>
      <c r="G165" s="15" t="str">
        <f>IF(Tabla3[[#This Row],[Disponibilidad]]="","",IF(Tabla3[[#This Row],[Disponibilidad]]&gt;1,"NO",""))</f>
        <v/>
      </c>
      <c r="H165" t="str">
        <f>IFERROR(IF(VLOOKUP(Tabla3[[#This Row],[Fecha]],Tabla1[[Día]:[P/LC/CF/CL]],5,FALSE)="LC","SI",""),"")</f>
        <v/>
      </c>
      <c r="I165" s="22">
        <f>IFERROR(Tabla3[[#This Row],[Disponibilidad]]*Tabla3[[#This Row],[Rendimiento]], IF(Tabla3[[#This Row],[LC]]="SI", 0, "No"))</f>
        <v>0.75333333333333341</v>
      </c>
      <c r="J165" s="16">
        <f>IF(Tabla3[[#This Row],[OEE]]="No","",WEEKNUM(Tabla3[[#This Row],[Fecha]]))</f>
        <v>28</v>
      </c>
      <c r="K165" s="27">
        <f>IFERROR(IF(Tabla3[[#This Row],[OEE]]&lt;&gt;"No",Tabla3[[#This Row],[OEE]]/Tabla3[[#This Row],[Disponibilidad]],""),0)</f>
        <v>0.83190184049079752</v>
      </c>
    </row>
    <row r="166" spans="1:12" x14ac:dyDescent="0.25">
      <c r="A166" s="2">
        <v>45847</v>
      </c>
      <c r="B166" s="5">
        <f>SUMIFS('paradas-disp'!F:F,'paradas-disp'!A:A,Tabla3[[#This Row],[Fecha]])</f>
        <v>0.57291666666666674</v>
      </c>
      <c r="C166" s="15">
        <f>SUMIFS('paradas-disp'!I:I,'paradas-disp'!A:A,Tabla3[[#This Row],[Fecha]])</f>
        <v>24462</v>
      </c>
      <c r="D166" s="15">
        <f>IF(Tabla3[[#This Row],[Fecha]]&lt;53,"",IFERROR(((HOUR(Tabla3[[#This Row],[Horas]])*60+MINUTE(Tabla3[[#This Row],[Horas]]))/60)*$D$1,""))</f>
        <v>24750</v>
      </c>
      <c r="E166" s="22">
        <f>IFERROR(Tabla3[[#This Row],[Cantidad producida]]/Tabla3[[#This Row],[Cantidad teórica]],"")</f>
        <v>0.98836363636363633</v>
      </c>
      <c r="F166" s="22">
        <f>IF(Tabla3[[#This Row],[Fecha]]&lt;53,"",IFERROR(Tabla3[[#This Row],[Horas]]/$F$1,""))</f>
        <v>0.91666666666666674</v>
      </c>
      <c r="G166" s="15" t="str">
        <f>IF(Tabla3[[#This Row],[Disponibilidad]]="","",IF(Tabla3[[#This Row],[Disponibilidad]]&gt;1,"NO",""))</f>
        <v/>
      </c>
      <c r="H166" t="str">
        <f>IFERROR(IF(VLOOKUP(Tabla3[[#This Row],[Fecha]],Tabla1[[Día]:[P/LC/CF/CL]],5,FALSE)="LC","SI",""),"")</f>
        <v/>
      </c>
      <c r="I166" s="22">
        <f>IFERROR(Tabla3[[#This Row],[Disponibilidad]]*Tabla3[[#This Row],[Rendimiento]], IF(Tabla3[[#This Row],[LC]]="SI", 0, "No"))</f>
        <v>0.90600000000000003</v>
      </c>
      <c r="J166" s="16">
        <f>IF(Tabla3[[#This Row],[OEE]]="No","",WEEKNUM(Tabla3[[#This Row],[Fecha]]))</f>
        <v>28</v>
      </c>
      <c r="K166" s="27">
        <f>IFERROR(IF(Tabla3[[#This Row],[OEE]]&lt;&gt;"No",Tabla3[[#This Row],[OEE]]/Tabla3[[#This Row],[Disponibilidad]],""),0)</f>
        <v>0.98836363636363633</v>
      </c>
    </row>
    <row r="167" spans="1:12" x14ac:dyDescent="0.25">
      <c r="A167" s="2">
        <v>45848</v>
      </c>
      <c r="B167" s="5">
        <f>SUMIFS('paradas-disp'!F:F,'paradas-disp'!A:A,Tabla3[[#This Row],[Fecha]])</f>
        <v>0.34375000000000006</v>
      </c>
      <c r="C167" s="15">
        <f>SUMIFS('paradas-disp'!I:I,'paradas-disp'!A:A,Tabla3[[#This Row],[Fecha]])</f>
        <v>11142</v>
      </c>
      <c r="D167" s="15">
        <f>IF(Tabla3[[#This Row],[Fecha]]&lt;53,"",IFERROR(((HOUR(Tabla3[[#This Row],[Horas]])*60+MINUTE(Tabla3[[#This Row],[Horas]]))/60)*$D$1,""))</f>
        <v>14850</v>
      </c>
      <c r="E167" s="22">
        <f>IFERROR(Tabla3[[#This Row],[Cantidad producida]]/Tabla3[[#This Row],[Cantidad teórica]],"")</f>
        <v>0.75030303030303025</v>
      </c>
      <c r="F167" s="22">
        <f>IF(Tabla3[[#This Row],[Fecha]]&lt;53,"",IFERROR(Tabla3[[#This Row],[Horas]]/$F$1,""))</f>
        <v>0.55000000000000004</v>
      </c>
      <c r="G167" s="15" t="str">
        <f>IF(Tabla3[[#This Row],[Disponibilidad]]="","",IF(Tabla3[[#This Row],[Disponibilidad]]&gt;1,"NO",""))</f>
        <v/>
      </c>
      <c r="H167" t="str">
        <f>IFERROR(IF(VLOOKUP(Tabla3[[#This Row],[Fecha]],Tabla1[[Día]:[P/LC/CF/CL]],5,FALSE)="LC","SI",""),"")</f>
        <v/>
      </c>
      <c r="I167" s="22">
        <f>IFERROR(Tabla3[[#This Row],[Disponibilidad]]*Tabla3[[#This Row],[Rendimiento]], IF(Tabla3[[#This Row],[LC]]="SI", 0, "No"))</f>
        <v>0.41266666666666668</v>
      </c>
      <c r="J167" s="16">
        <f>IF(Tabla3[[#This Row],[OEE]]="No","",WEEKNUM(Tabla3[[#This Row],[Fecha]]))</f>
        <v>28</v>
      </c>
      <c r="K167" s="27">
        <f>IFERROR(IF(Tabla3[[#This Row],[OEE]]&lt;&gt;"No",Tabla3[[#This Row],[OEE]]/Tabla3[[#This Row],[Disponibilidad]],""),0)</f>
        <v>0.75030303030303025</v>
      </c>
    </row>
    <row r="168" spans="1:12" x14ac:dyDescent="0.25">
      <c r="A168" s="2">
        <v>45849</v>
      </c>
      <c r="B168" s="5">
        <f>SUMIFS('paradas-disp'!F:F,'paradas-disp'!A:A,Tabla3[[#This Row],[Fecha]])</f>
        <v>0.1111111111111111</v>
      </c>
      <c r="C168" s="15">
        <f>SUMIFS('paradas-disp'!I:I,'paradas-disp'!A:A,Tabla3[[#This Row],[Fecha]])</f>
        <v>5217</v>
      </c>
      <c r="D168" s="15">
        <f>IF(Tabla3[[#This Row],[Fecha]]&lt;53,"",IFERROR(((HOUR(Tabla3[[#This Row],[Horas]])*60+MINUTE(Tabla3[[#This Row],[Horas]]))/60)*$D$1,""))</f>
        <v>4800</v>
      </c>
      <c r="E168" s="22">
        <f>IFERROR(Tabla3[[#This Row],[Cantidad producida]]/Tabla3[[#This Row],[Cantidad teórica]],"")</f>
        <v>1.086875</v>
      </c>
      <c r="F168" s="22">
        <f>IF(Tabla3[[#This Row],[Fecha]]&lt;53,"",IFERROR(Tabla3[[#This Row],[Horas]]/$F$1,""))</f>
        <v>0.17777777777777776</v>
      </c>
      <c r="G168" s="15" t="str">
        <f>IF(Tabla3[[#This Row],[Disponibilidad]]="","",IF(Tabla3[[#This Row],[Disponibilidad]]&gt;1,"NO",""))</f>
        <v/>
      </c>
      <c r="H168" t="str">
        <f>IFERROR(IF(VLOOKUP(Tabla3[[#This Row],[Fecha]],Tabla1[[Día]:[P/LC/CF/CL]],5,FALSE)="LC","SI",""),"")</f>
        <v/>
      </c>
      <c r="I168" s="22">
        <f>IFERROR(Tabla3[[#This Row],[Disponibilidad]]*Tabla3[[#This Row],[Rendimiento]], IF(Tabla3[[#This Row],[LC]]="SI", 0, "No"))</f>
        <v>0.19322222222222221</v>
      </c>
      <c r="J168" s="16">
        <f>IF(Tabla3[[#This Row],[OEE]]="No","",WEEKNUM(Tabla3[[#This Row],[Fecha]]))</f>
        <v>28</v>
      </c>
      <c r="K168" s="27">
        <f>IFERROR(IF(Tabla3[[#This Row],[OEE]]&lt;&gt;"No",Tabla3[[#This Row],[OEE]]/Tabla3[[#This Row],[Disponibilidad]],""),0)</f>
        <v>1.086875</v>
      </c>
    </row>
    <row r="169" spans="1:12" x14ac:dyDescent="0.25">
      <c r="A169" s="2">
        <v>45850</v>
      </c>
      <c r="B169" s="5">
        <f>SUMIFS('paradas-disp'!F:F,'paradas-disp'!A:A,Tabla3[[#This Row],[Fecha]])</f>
        <v>0</v>
      </c>
      <c r="C169" s="15">
        <f>SUMIFS('paradas-disp'!I:I,'paradas-disp'!A:A,Tabla3[[#This Row],[Fecha]])</f>
        <v>0</v>
      </c>
      <c r="D169" s="15">
        <f>IF(Tabla3[[#This Row],[Fecha]]&lt;53,"",IFERROR(((HOUR(Tabla3[[#This Row],[Horas]])*60+MINUTE(Tabla3[[#This Row],[Horas]]))/60)*$D$1,""))</f>
        <v>0</v>
      </c>
      <c r="E169" s="22" t="str">
        <f>IFERROR(Tabla3[[#This Row],[Cantidad producida]]/Tabla3[[#This Row],[Cantidad teórica]],"")</f>
        <v/>
      </c>
      <c r="F169" s="22">
        <f>IF(Tabla3[[#This Row],[Fecha]]&lt;53,"",IFERROR(Tabla3[[#This Row],[Horas]]/$F$1,""))</f>
        <v>0</v>
      </c>
      <c r="G169" s="15" t="str">
        <f>IF(Tabla3[[#This Row],[Disponibilidad]]="","",IF(Tabla3[[#This Row],[Disponibilidad]]&gt;1,"NO",""))</f>
        <v/>
      </c>
      <c r="H169" t="str">
        <f>IFERROR(IF(VLOOKUP(Tabla3[[#This Row],[Fecha]],Tabla1[[Día]:[P/LC/CF/CL]],5,FALSE)="LC","SI",""),"")</f>
        <v/>
      </c>
      <c r="I169" s="22" t="str">
        <f>IFERROR(Tabla3[[#This Row],[Disponibilidad]]*Tabla3[[#This Row],[Rendimiento]], IF(Tabla3[[#This Row],[LC]]="SI", 0, "No"))</f>
        <v>No</v>
      </c>
      <c r="J169" s="16" t="str">
        <f>IF(Tabla3[[#This Row],[OEE]]="No","",WEEKNUM(Tabla3[[#This Row],[Fecha]]))</f>
        <v/>
      </c>
      <c r="K169" s="27" t="str">
        <f>IFERROR(IF(Tabla3[[#This Row],[OEE]]&lt;&gt;"No",Tabla3[[#This Row],[OEE]]/Tabla3[[#This Row],[Disponibilidad]],""),0)</f>
        <v/>
      </c>
    </row>
    <row r="170" spans="1:12" x14ac:dyDescent="0.25">
      <c r="A170" s="2">
        <v>45851</v>
      </c>
      <c r="B170" s="5">
        <f>SUMIFS('paradas-disp'!F:F,'paradas-disp'!A:A,Tabla3[[#This Row],[Fecha]])</f>
        <v>0</v>
      </c>
      <c r="C170" s="15">
        <f>SUMIFS('paradas-disp'!I:I,'paradas-disp'!A:A,Tabla3[[#This Row],[Fecha]])</f>
        <v>0</v>
      </c>
      <c r="D170" s="15">
        <f>IF(Tabla3[[#This Row],[Fecha]]&lt;53,"",IFERROR(((HOUR(Tabla3[[#This Row],[Horas]])*60+MINUTE(Tabla3[[#This Row],[Horas]]))/60)*$D$1,""))</f>
        <v>0</v>
      </c>
      <c r="E170" s="22" t="str">
        <f>IFERROR(Tabla3[[#This Row],[Cantidad producida]]/Tabla3[[#This Row],[Cantidad teórica]],"")</f>
        <v/>
      </c>
      <c r="F170" s="22">
        <f>IF(Tabla3[[#This Row],[Fecha]]&lt;53,"",IFERROR(Tabla3[[#This Row],[Horas]]/$F$1,""))</f>
        <v>0</v>
      </c>
      <c r="G170" s="15" t="str">
        <f>IF(Tabla3[[#This Row],[Disponibilidad]]="","",IF(Tabla3[[#This Row],[Disponibilidad]]&gt;1,"NO",""))</f>
        <v/>
      </c>
      <c r="H170" t="str">
        <f>IFERROR(IF(VLOOKUP(Tabla3[[#This Row],[Fecha]],Tabla1[[Día]:[P/LC/CF/CL]],5,FALSE)="LC","SI",""),"")</f>
        <v/>
      </c>
      <c r="I170" s="22" t="str">
        <f>IFERROR(Tabla3[[#This Row],[Disponibilidad]]*Tabla3[[#This Row],[Rendimiento]], IF(Tabla3[[#This Row],[LC]]="SI", 0, "No"))</f>
        <v>No</v>
      </c>
      <c r="J170" s="16" t="str">
        <f>IF(Tabla3[[#This Row],[OEE]]="No","",WEEKNUM(Tabla3[[#This Row],[Fecha]]))</f>
        <v/>
      </c>
      <c r="K170" s="27" t="str">
        <f>IFERROR(IF(Tabla3[[#This Row],[OEE]]&lt;&gt;"No",Tabla3[[#This Row],[OEE]]/Tabla3[[#This Row],[Disponibilidad]],""),0)</f>
        <v/>
      </c>
    </row>
    <row r="171" spans="1:12" x14ac:dyDescent="0.25">
      <c r="A171" s="2">
        <v>45852</v>
      </c>
      <c r="B171" s="5">
        <f>SUMIFS('paradas-disp'!F:F,'paradas-disp'!A:A,Tabla3[[#This Row],[Fecha]])</f>
        <v>9.027777777777779E-2</v>
      </c>
      <c r="C171" s="15">
        <f>SUMIFS('paradas-disp'!I:I,'paradas-disp'!A:A,Tabla3[[#This Row],[Fecha]])</f>
        <v>2946</v>
      </c>
      <c r="D171" s="15">
        <f>IF(Tabla3[[#This Row],[Fecha]]&lt;53,"",IFERROR(((HOUR(Tabla3[[#This Row],[Horas]])*60+MINUTE(Tabla3[[#This Row],[Horas]]))/60)*$D$1,""))</f>
        <v>3899.9999999999995</v>
      </c>
      <c r="E171" s="22">
        <f>IFERROR(Tabla3[[#This Row],[Cantidad producida]]/Tabla3[[#This Row],[Cantidad teórica]],"")</f>
        <v>0.75538461538461543</v>
      </c>
      <c r="F171" s="22">
        <f>IF(Tabla3[[#This Row],[Fecha]]&lt;53,"",IFERROR(Tabla3[[#This Row],[Horas]]/$F$1,""))</f>
        <v>0.14444444444444446</v>
      </c>
      <c r="G171" s="15" t="str">
        <f>IF(Tabla3[[#This Row],[Disponibilidad]]="","",IF(Tabla3[[#This Row],[Disponibilidad]]&gt;1,"NO",""))</f>
        <v/>
      </c>
      <c r="H171" t="str">
        <f>IFERROR(IF(VLOOKUP(Tabla3[[#This Row],[Fecha]],Tabla1[[Día]:[P/LC/CF/CL]],5,FALSE)="LC","SI",""),"")</f>
        <v/>
      </c>
      <c r="I171" s="22">
        <f>IFERROR(Tabla3[[#This Row],[Disponibilidad]]*Tabla3[[#This Row],[Rendimiento]], IF(Tabla3[[#This Row],[LC]]="SI", 0, "No"))</f>
        <v>0.10911111111111113</v>
      </c>
      <c r="J171" s="16">
        <f>IF(Tabla3[[#This Row],[OEE]]="No","",WEEKNUM(Tabla3[[#This Row],[Fecha]]))</f>
        <v>29</v>
      </c>
      <c r="K171" s="27">
        <f>IFERROR(IF(Tabla3[[#This Row],[OEE]]&lt;&gt;"No",Tabla3[[#This Row],[OEE]]/Tabla3[[#This Row],[Disponibilidad]],""),0)</f>
        <v>0.75538461538461543</v>
      </c>
      <c r="L171" s="10">
        <f>Tabla3[[#This Row],[OEE]]*2+I172*2+I173*2+I174*2+I175</f>
        <v>2.075925925925926</v>
      </c>
    </row>
    <row r="172" spans="1:12" x14ac:dyDescent="0.25">
      <c r="A172" s="2">
        <v>45853</v>
      </c>
      <c r="B172" s="5">
        <f>SUMIFS('paradas-disp'!F:F,'paradas-disp'!A:A,Tabla3[[#This Row],[Fecha]])</f>
        <v>0</v>
      </c>
      <c r="C172" s="15">
        <f>SUMIFS('paradas-disp'!I:I,'paradas-disp'!A:A,Tabla3[[#This Row],[Fecha]])</f>
        <v>0</v>
      </c>
      <c r="D172" s="15">
        <f>IF(Tabla3[[#This Row],[Fecha]]&lt;53,"",IFERROR(((HOUR(Tabla3[[#This Row],[Horas]])*60+MINUTE(Tabla3[[#This Row],[Horas]]))/60)*$D$1,""))</f>
        <v>0</v>
      </c>
      <c r="E172" s="22" t="str">
        <f>IFERROR(Tabla3[[#This Row],[Cantidad producida]]/Tabla3[[#This Row],[Cantidad teórica]],"")</f>
        <v/>
      </c>
      <c r="F172" s="22">
        <f>IF(Tabla3[[#This Row],[Fecha]]&lt;53,"",IFERROR(Tabla3[[#This Row],[Horas]]/$F$1,""))</f>
        <v>0</v>
      </c>
      <c r="G172" s="15" t="str">
        <f>IF(Tabla3[[#This Row],[Disponibilidad]]="","",IF(Tabla3[[#This Row],[Disponibilidad]]&gt;1,"NO",""))</f>
        <v/>
      </c>
      <c r="H172" t="str">
        <f>IFERROR(IF(VLOOKUP(Tabla3[[#This Row],[Fecha]],Tabla1[[Día]:[P/LC/CF/CL]],5,FALSE)="LC","SI",""),"")</f>
        <v>SI</v>
      </c>
      <c r="I172" s="22">
        <f>IFERROR(Tabla3[[#This Row],[Disponibilidad]]*Tabla3[[#This Row],[Rendimiento]], IF(Tabla3[[#This Row],[LC]]="SI", 0, "No"))</f>
        <v>0</v>
      </c>
      <c r="J172" s="16">
        <f>IF(Tabla3[[#This Row],[OEE]]="No","",WEEKNUM(Tabla3[[#This Row],[Fecha]]))</f>
        <v>29</v>
      </c>
      <c r="K172" s="27">
        <f>IFERROR(IF(Tabla3[[#This Row],[OEE]]&lt;&gt;"No",Tabla3[[#This Row],[OEE]]/Tabla3[[#This Row],[Disponibilidad]],""),0)</f>
        <v>0</v>
      </c>
      <c r="L172">
        <f>L171/9</f>
        <v>0.23065843621399176</v>
      </c>
    </row>
    <row r="173" spans="1:12" x14ac:dyDescent="0.25">
      <c r="A173" s="2">
        <v>45854</v>
      </c>
      <c r="B173" s="5">
        <f>SUMIFS('paradas-disp'!F:F,'paradas-disp'!A:A,Tabla3[[#This Row],[Fecha]])</f>
        <v>0.35069444444444442</v>
      </c>
      <c r="C173" s="15">
        <f>SUMIFS('paradas-disp'!I:I,'paradas-disp'!A:A,Tabla3[[#This Row],[Fecha]])</f>
        <v>9791</v>
      </c>
      <c r="D173" s="15">
        <f>IF(Tabla3[[#This Row],[Fecha]]&lt;53,"",IFERROR(((HOUR(Tabla3[[#This Row],[Horas]])*60+MINUTE(Tabla3[[#This Row],[Horas]]))/60)*$D$1,""))</f>
        <v>15149.999999999998</v>
      </c>
      <c r="E173" s="22">
        <f>IFERROR(Tabla3[[#This Row],[Cantidad producida]]/Tabla3[[#This Row],[Cantidad teórica]],"")</f>
        <v>0.64627062706270633</v>
      </c>
      <c r="F173" s="22">
        <f>IF(Tabla3[[#This Row],[Fecha]]&lt;53,"",IFERROR(Tabla3[[#This Row],[Horas]]/$F$1,""))</f>
        <v>0.56111111111111112</v>
      </c>
      <c r="G173" s="15" t="str">
        <f>IF(Tabla3[[#This Row],[Disponibilidad]]="","",IF(Tabla3[[#This Row],[Disponibilidad]]&gt;1,"NO",""))</f>
        <v/>
      </c>
      <c r="H173" t="str">
        <f>IFERROR(IF(VLOOKUP(Tabla3[[#This Row],[Fecha]],Tabla1[[Día]:[P/LC/CF/CL]],5,FALSE)="LC","SI",""),"")</f>
        <v/>
      </c>
      <c r="I173" s="22">
        <f>IFERROR(Tabla3[[#This Row],[Disponibilidad]]*Tabla3[[#This Row],[Rendimiento]], IF(Tabla3[[#This Row],[LC]]="SI", 0, "No"))</f>
        <v>0.36262962962962969</v>
      </c>
      <c r="J173" s="16">
        <f>IF(Tabla3[[#This Row],[OEE]]="No","",WEEKNUM(Tabla3[[#This Row],[Fecha]]))</f>
        <v>29</v>
      </c>
      <c r="K173" s="27">
        <f>IFERROR(IF(Tabla3[[#This Row],[OEE]]&lt;&gt;"No",Tabla3[[#This Row],[OEE]]/Tabla3[[#This Row],[Disponibilidad]],""),0)</f>
        <v>0.64627062706270633</v>
      </c>
    </row>
    <row r="174" spans="1:12" x14ac:dyDescent="0.25">
      <c r="A174" s="2">
        <v>45855</v>
      </c>
      <c r="B174" s="5">
        <f>SUMIFS('paradas-disp'!F:F,'paradas-disp'!A:A,Tabla3[[#This Row],[Fecha]])</f>
        <v>0.34375</v>
      </c>
      <c r="C174" s="15">
        <f>SUMIFS('paradas-disp'!I:I,'paradas-disp'!A:A,Tabla3[[#This Row],[Fecha]])</f>
        <v>15288</v>
      </c>
      <c r="D174" s="15">
        <f>IF(Tabla3[[#This Row],[Fecha]]&lt;53,"",IFERROR(((HOUR(Tabla3[[#This Row],[Horas]])*60+MINUTE(Tabla3[[#This Row],[Horas]]))/60)*$D$1,""))</f>
        <v>14850</v>
      </c>
      <c r="E174" s="22">
        <f>IFERROR(Tabla3[[#This Row],[Cantidad producida]]/Tabla3[[#This Row],[Cantidad teórica]],"")</f>
        <v>1.0294949494949495</v>
      </c>
      <c r="F174" s="22">
        <f>IF(Tabla3[[#This Row],[Fecha]]&lt;53,"",IFERROR(Tabla3[[#This Row],[Horas]]/$F$1,""))</f>
        <v>0.55000000000000004</v>
      </c>
      <c r="G174" s="15" t="str">
        <f>IF(Tabla3[[#This Row],[Disponibilidad]]="","",IF(Tabla3[[#This Row],[Disponibilidad]]&gt;1,"NO",""))</f>
        <v/>
      </c>
      <c r="H174" t="str">
        <f>IFERROR(IF(VLOOKUP(Tabla3[[#This Row],[Fecha]],Tabla1[[Día]:[P/LC/CF/CL]],5,FALSE)="LC","SI",""),"")</f>
        <v/>
      </c>
      <c r="I174" s="22">
        <f>IFERROR(Tabla3[[#This Row],[Disponibilidad]]*Tabla3[[#This Row],[Rendimiento]], IF(Tabla3[[#This Row],[LC]]="SI", 0, "No"))</f>
        <v>0.56622222222222229</v>
      </c>
      <c r="J174" s="16">
        <f>IF(Tabla3[[#This Row],[OEE]]="No","",WEEKNUM(Tabla3[[#This Row],[Fecha]]))</f>
        <v>29</v>
      </c>
      <c r="K174" s="27">
        <f>IFERROR(IF(Tabla3[[#This Row],[OEE]]&lt;&gt;"No",Tabla3[[#This Row],[OEE]]/Tabla3[[#This Row],[Disponibilidad]],""),0)</f>
        <v>1.0294949494949495</v>
      </c>
    </row>
    <row r="175" spans="1:12" x14ac:dyDescent="0.25">
      <c r="A175" s="2">
        <v>45856</v>
      </c>
      <c r="B175" s="5">
        <f>SUMIFS('paradas-disp'!F:F,'paradas-disp'!A:A,Tabla3[[#This Row],[Fecha]])</f>
        <v>0</v>
      </c>
      <c r="C175" s="15">
        <f>SUMIFS('paradas-disp'!I:I,'paradas-disp'!A:A,Tabla3[[#This Row],[Fecha]])</f>
        <v>0</v>
      </c>
      <c r="D175" s="15">
        <f>IF(Tabla3[[#This Row],[Fecha]]&lt;53,"",IFERROR(((HOUR(Tabla3[[#This Row],[Horas]])*60+MINUTE(Tabla3[[#This Row],[Horas]]))/60)*$D$1,""))</f>
        <v>0</v>
      </c>
      <c r="E175" s="22" t="str">
        <f>IFERROR(Tabla3[[#This Row],[Cantidad producida]]/Tabla3[[#This Row],[Cantidad teórica]],"")</f>
        <v/>
      </c>
      <c r="F175" s="22">
        <f>IF(Tabla3[[#This Row],[Fecha]]&lt;53,"",IFERROR(Tabla3[[#This Row],[Horas]]/$F$1,""))</f>
        <v>0</v>
      </c>
      <c r="G175" s="15" t="str">
        <f>IF(Tabla3[[#This Row],[Disponibilidad]]="","",IF(Tabla3[[#This Row],[Disponibilidad]]&gt;1,"NO",""))</f>
        <v/>
      </c>
      <c r="H175" t="str">
        <f>IFERROR(IF(VLOOKUP(Tabla3[[#This Row],[Fecha]],Tabla1[[Día]:[P/LC/CF/CL]],5,FALSE)="LC","SI",""),"")</f>
        <v>SI</v>
      </c>
      <c r="I175" s="22">
        <f>IFERROR(Tabla3[[#This Row],[Disponibilidad]]*Tabla3[[#This Row],[Rendimiento]], IF(Tabla3[[#This Row],[LC]]="SI", 0, "No"))</f>
        <v>0</v>
      </c>
      <c r="J175" s="16">
        <f>IF(Tabla3[[#This Row],[OEE]]="No","",WEEKNUM(Tabla3[[#This Row],[Fecha]]))</f>
        <v>29</v>
      </c>
      <c r="K175" s="27">
        <f>IFERROR(IF(Tabla3[[#This Row],[OEE]]&lt;&gt;"No",Tabla3[[#This Row],[OEE]]/Tabla3[[#This Row],[Disponibilidad]],""),0)</f>
        <v>0</v>
      </c>
    </row>
    <row r="176" spans="1:12" x14ac:dyDescent="0.25">
      <c r="A176" s="2">
        <v>45857</v>
      </c>
      <c r="B176" s="5">
        <f>SUMIFS('paradas-disp'!F:F,'paradas-disp'!A:A,Tabla3[[#This Row],[Fecha]])</f>
        <v>0</v>
      </c>
      <c r="C176" s="15">
        <f>SUMIFS('paradas-disp'!I:I,'paradas-disp'!A:A,Tabla3[[#This Row],[Fecha]])</f>
        <v>0</v>
      </c>
      <c r="D176" s="15">
        <f>IF(Tabla3[[#This Row],[Fecha]]&lt;53,"",IFERROR(((HOUR(Tabla3[[#This Row],[Horas]])*60+MINUTE(Tabla3[[#This Row],[Horas]]))/60)*$D$1,""))</f>
        <v>0</v>
      </c>
      <c r="E176" s="22" t="str">
        <f>IFERROR(Tabla3[[#This Row],[Cantidad producida]]/Tabla3[[#This Row],[Cantidad teórica]],"")</f>
        <v/>
      </c>
      <c r="F176" s="22">
        <f>IF(Tabla3[[#This Row],[Fecha]]&lt;53,"",IFERROR(Tabla3[[#This Row],[Horas]]/$F$1,""))</f>
        <v>0</v>
      </c>
      <c r="G176" s="15" t="str">
        <f>IF(Tabla3[[#This Row],[Disponibilidad]]="","",IF(Tabla3[[#This Row],[Disponibilidad]]&gt;1,"NO",""))</f>
        <v/>
      </c>
      <c r="H176" t="str">
        <f>IFERROR(IF(VLOOKUP(Tabla3[[#This Row],[Fecha]],Tabla1[[Día]:[P/LC/CF/CL]],5,FALSE)="LC","SI",""),"")</f>
        <v/>
      </c>
      <c r="I176" s="22" t="str">
        <f>IFERROR(Tabla3[[#This Row],[Disponibilidad]]*Tabla3[[#This Row],[Rendimiento]], IF(Tabla3[[#This Row],[LC]]="SI", 0, "No"))</f>
        <v>No</v>
      </c>
      <c r="J176" s="16" t="str">
        <f>IF(Tabla3[[#This Row],[OEE]]="No","",WEEKNUM(Tabla3[[#This Row],[Fecha]]))</f>
        <v/>
      </c>
      <c r="K176" s="27" t="str">
        <f>IFERROR(IF(Tabla3[[#This Row],[OEE]]&lt;&gt;"No",Tabla3[[#This Row],[OEE]]/Tabla3[[#This Row],[Disponibilidad]],""),0)</f>
        <v/>
      </c>
    </row>
    <row r="177" spans="1:11" x14ac:dyDescent="0.25">
      <c r="A177" s="2">
        <v>45858</v>
      </c>
      <c r="B177" s="5">
        <f>SUMIFS('paradas-disp'!F:F,'paradas-disp'!A:A,Tabla3[[#This Row],[Fecha]])</f>
        <v>0</v>
      </c>
      <c r="C177" s="15">
        <f>SUMIFS('paradas-disp'!I:I,'paradas-disp'!A:A,Tabla3[[#This Row],[Fecha]])</f>
        <v>0</v>
      </c>
      <c r="D177" s="15">
        <f>IF(Tabla3[[#This Row],[Fecha]]&lt;53,"",IFERROR(((HOUR(Tabla3[[#This Row],[Horas]])*60+MINUTE(Tabla3[[#This Row],[Horas]]))/60)*$D$1,""))</f>
        <v>0</v>
      </c>
      <c r="E177" s="22" t="str">
        <f>IFERROR(Tabla3[[#This Row],[Cantidad producida]]/Tabla3[[#This Row],[Cantidad teórica]],"")</f>
        <v/>
      </c>
      <c r="F177" s="22">
        <f>IF(Tabla3[[#This Row],[Fecha]]&lt;53,"",IFERROR(Tabla3[[#This Row],[Horas]]/$F$1,""))</f>
        <v>0</v>
      </c>
      <c r="G177" s="15" t="str">
        <f>IF(Tabla3[[#This Row],[Disponibilidad]]="","",IF(Tabla3[[#This Row],[Disponibilidad]]&gt;1,"NO",""))</f>
        <v/>
      </c>
      <c r="H177" t="str">
        <f>IFERROR(IF(VLOOKUP(Tabla3[[#This Row],[Fecha]],Tabla1[[Día]:[P/LC/CF/CL]],5,FALSE)="LC","SI",""),"")</f>
        <v/>
      </c>
      <c r="I177" s="22" t="str">
        <f>IFERROR(Tabla3[[#This Row],[Disponibilidad]]*Tabla3[[#This Row],[Rendimiento]], IF(Tabla3[[#This Row],[LC]]="SI", 0, "No"))</f>
        <v>No</v>
      </c>
      <c r="J177" s="16" t="str">
        <f>IF(Tabla3[[#This Row],[OEE]]="No","",WEEKNUM(Tabla3[[#This Row],[Fecha]]))</f>
        <v/>
      </c>
      <c r="K177" s="27" t="str">
        <f>IFERROR(IF(Tabla3[[#This Row],[OEE]]&lt;&gt;"No",Tabla3[[#This Row],[OEE]]/Tabla3[[#This Row],[Disponibilidad]],""),0)</f>
        <v/>
      </c>
    </row>
    <row r="178" spans="1:11" x14ac:dyDescent="0.25">
      <c r="A178" s="2">
        <v>45859</v>
      </c>
      <c r="B178" s="5">
        <f>SUMIFS('paradas-disp'!F:F,'paradas-disp'!A:A,Tabla3[[#This Row],[Fecha]])</f>
        <v>0.47222222222222227</v>
      </c>
      <c r="C178" s="15">
        <f>SUMIFS('paradas-disp'!I:I,'paradas-disp'!A:A,Tabla3[[#This Row],[Fecha]])</f>
        <v>22545</v>
      </c>
      <c r="D178" s="15">
        <f>IF(Tabla3[[#This Row],[Fecha]]&lt;53,"",IFERROR(((HOUR(Tabla3[[#This Row],[Horas]])*60+MINUTE(Tabla3[[#This Row],[Horas]]))/60)*$D$1,""))</f>
        <v>20400</v>
      </c>
      <c r="E178" s="22">
        <f>IFERROR(Tabla3[[#This Row],[Cantidad producida]]/Tabla3[[#This Row],[Cantidad teórica]],"")</f>
        <v>1.1051470588235295</v>
      </c>
      <c r="F178" s="22">
        <f>IF(Tabla3[[#This Row],[Fecha]]&lt;53,"",IFERROR(Tabla3[[#This Row],[Horas]]/$F$1,""))</f>
        <v>0.75555555555555565</v>
      </c>
      <c r="G178" s="15" t="str">
        <f>IF(Tabla3[[#This Row],[Disponibilidad]]="","",IF(Tabla3[[#This Row],[Disponibilidad]]&gt;1,"NO",""))</f>
        <v/>
      </c>
      <c r="H178" t="str">
        <f>IFERROR(IF(VLOOKUP(Tabla3[[#This Row],[Fecha]],Tabla1[[Día]:[P/LC/CF/CL]],5,FALSE)="LC","SI",""),"")</f>
        <v/>
      </c>
      <c r="I178" s="22">
        <f>IFERROR(Tabla3[[#This Row],[Disponibilidad]]*Tabla3[[#This Row],[Rendimiento]], IF(Tabla3[[#This Row],[LC]]="SI", 0, "No"))</f>
        <v>0.83500000000000019</v>
      </c>
      <c r="J178" s="16">
        <f>IF(Tabla3[[#This Row],[OEE]]="No","",WEEKNUM(Tabla3[[#This Row],[Fecha]]))</f>
        <v>30</v>
      </c>
      <c r="K178" s="27">
        <f>IFERROR(IF(Tabla3[[#This Row],[OEE]]&lt;&gt;"No",Tabla3[[#This Row],[OEE]]/Tabla3[[#This Row],[Disponibilidad]],""),0)</f>
        <v>1.1051470588235295</v>
      </c>
    </row>
    <row r="179" spans="1:11" x14ac:dyDescent="0.25">
      <c r="A179" s="2">
        <v>45860</v>
      </c>
      <c r="B179" s="5">
        <f>SUMIFS('paradas-disp'!F:F,'paradas-disp'!A:A,Tabla3[[#This Row],[Fecha]])</f>
        <v>0.53125</v>
      </c>
      <c r="C179" s="15">
        <f>SUMIFS('paradas-disp'!I:I,'paradas-disp'!A:A,Tabla3[[#This Row],[Fecha]])</f>
        <v>24951</v>
      </c>
      <c r="D179" s="15">
        <f>IF(Tabla3[[#This Row],[Fecha]]&lt;53,"",IFERROR(((HOUR(Tabla3[[#This Row],[Horas]])*60+MINUTE(Tabla3[[#This Row],[Horas]]))/60)*$D$1,""))</f>
        <v>22950</v>
      </c>
      <c r="E179" s="22">
        <f>IFERROR(Tabla3[[#This Row],[Cantidad producida]]/Tabla3[[#This Row],[Cantidad teórica]],"")</f>
        <v>1.0871895424836602</v>
      </c>
      <c r="F179" s="22">
        <f>IF(Tabla3[[#This Row],[Fecha]]&lt;53,"",IFERROR(Tabla3[[#This Row],[Horas]]/$F$1,""))</f>
        <v>0.85</v>
      </c>
      <c r="G179" s="15" t="str">
        <f>IF(Tabla3[[#This Row],[Disponibilidad]]="","",IF(Tabla3[[#This Row],[Disponibilidad]]&gt;1,"NO",""))</f>
        <v/>
      </c>
      <c r="H179" t="str">
        <f>IFERROR(IF(VLOOKUP(Tabla3[[#This Row],[Fecha]],Tabla1[[Día]:[P/LC/CF/CL]],5,FALSE)="LC","SI",""),"")</f>
        <v/>
      </c>
      <c r="I179" s="22">
        <f>IFERROR(Tabla3[[#This Row],[Disponibilidad]]*Tabla3[[#This Row],[Rendimiento]], IF(Tabla3[[#This Row],[LC]]="SI", 0, "No"))</f>
        <v>0.92411111111111111</v>
      </c>
      <c r="J179" s="16">
        <f>IF(Tabla3[[#This Row],[OEE]]="No","",WEEKNUM(Tabla3[[#This Row],[Fecha]]))</f>
        <v>30</v>
      </c>
      <c r="K179" s="27">
        <f>IFERROR(IF(Tabla3[[#This Row],[OEE]]&lt;&gt;"No",Tabla3[[#This Row],[OEE]]/Tabla3[[#This Row],[Disponibilidad]],""),0)</f>
        <v>1.0871895424836602</v>
      </c>
    </row>
    <row r="180" spans="1:11" x14ac:dyDescent="0.25">
      <c r="A180" s="2">
        <v>45861</v>
      </c>
      <c r="B180" s="5">
        <f>SUMIFS('paradas-disp'!F:F,'paradas-disp'!A:A,Tabla3[[#This Row],[Fecha]])</f>
        <v>0.23958333333333326</v>
      </c>
      <c r="C180" s="15">
        <f>SUMIFS('paradas-disp'!I:I,'paradas-disp'!A:A,Tabla3[[#This Row],[Fecha]])</f>
        <v>11603</v>
      </c>
      <c r="D180" s="15">
        <f>IF(Tabla3[[#This Row],[Fecha]]&lt;53,"",IFERROR(((HOUR(Tabla3[[#This Row],[Horas]])*60+MINUTE(Tabla3[[#This Row],[Horas]]))/60)*$D$1,""))</f>
        <v>10350</v>
      </c>
      <c r="E180" s="22">
        <f>IFERROR(Tabla3[[#This Row],[Cantidad producida]]/Tabla3[[#This Row],[Cantidad teórica]],"")</f>
        <v>1.1210628019323672</v>
      </c>
      <c r="F180" s="22">
        <f>IF(Tabla3[[#This Row],[Fecha]]&lt;53,"",IFERROR(Tabla3[[#This Row],[Horas]]/$F$1,""))</f>
        <v>0.38333333333333319</v>
      </c>
      <c r="G180" s="15" t="str">
        <f>IF(Tabla3[[#This Row],[Disponibilidad]]="","",IF(Tabla3[[#This Row],[Disponibilidad]]&gt;1,"NO",""))</f>
        <v/>
      </c>
      <c r="H180" t="str">
        <f>IFERROR(IF(VLOOKUP(Tabla3[[#This Row],[Fecha]],Tabla1[[Día]:[P/LC/CF/CL]],5,FALSE)="LC","SI",""),"")</f>
        <v/>
      </c>
      <c r="I180" s="22">
        <f>IFERROR(Tabla3[[#This Row],[Disponibilidad]]*Tabla3[[#This Row],[Rendimiento]], IF(Tabla3[[#This Row],[LC]]="SI", 0, "No"))</f>
        <v>0.42974074074074059</v>
      </c>
      <c r="J180" s="16">
        <f>IF(Tabla3[[#This Row],[OEE]]="No","",WEEKNUM(Tabla3[[#This Row],[Fecha]]))</f>
        <v>30</v>
      </c>
      <c r="K180" s="27">
        <f>IFERROR(IF(Tabla3[[#This Row],[OEE]]&lt;&gt;"No",Tabla3[[#This Row],[OEE]]/Tabla3[[#This Row],[Disponibilidad]],""),0)</f>
        <v>1.1210628019323672</v>
      </c>
    </row>
    <row r="181" spans="1:11" x14ac:dyDescent="0.25">
      <c r="A181" s="2">
        <v>45862</v>
      </c>
      <c r="B181" s="5">
        <f>SUMIFS('paradas-disp'!F:F,'paradas-disp'!A:A,Tabla3[[#This Row],[Fecha]])</f>
        <v>0</v>
      </c>
      <c r="C181" s="15">
        <f>SUMIFS('paradas-disp'!I:I,'paradas-disp'!A:A,Tabla3[[#This Row],[Fecha]])</f>
        <v>0</v>
      </c>
      <c r="D181" s="15">
        <f>IF(Tabla3[[#This Row],[Fecha]]&lt;53,"",IFERROR(((HOUR(Tabla3[[#This Row],[Horas]])*60+MINUTE(Tabla3[[#This Row],[Horas]]))/60)*$D$1,""))</f>
        <v>0</v>
      </c>
      <c r="E181" s="22" t="str">
        <f>IFERROR(Tabla3[[#This Row],[Cantidad producida]]/Tabla3[[#This Row],[Cantidad teórica]],"")</f>
        <v/>
      </c>
      <c r="F181" s="22">
        <f>IF(Tabla3[[#This Row],[Fecha]]&lt;53,"",IFERROR(Tabla3[[#This Row],[Horas]]/$F$1,""))</f>
        <v>0</v>
      </c>
      <c r="G181" s="15" t="str">
        <f>IF(Tabla3[[#This Row],[Disponibilidad]]="","",IF(Tabla3[[#This Row],[Disponibilidad]]&gt;1,"NO",""))</f>
        <v/>
      </c>
      <c r="H181" t="str">
        <f>IFERROR(IF(VLOOKUP(Tabla3[[#This Row],[Fecha]],Tabla1[[Día]:[P/LC/CF/CL]],5,FALSE)="LC","SI",""),"")</f>
        <v/>
      </c>
      <c r="I181" s="22" t="str">
        <f>IFERROR(Tabla3[[#This Row],[Disponibilidad]]*Tabla3[[#This Row],[Rendimiento]], IF(Tabla3[[#This Row],[LC]]="SI", 0, "No"))</f>
        <v>No</v>
      </c>
      <c r="J181" s="16" t="str">
        <f>IF(Tabla3[[#This Row],[OEE]]="No","",WEEKNUM(Tabla3[[#This Row],[Fecha]]))</f>
        <v/>
      </c>
      <c r="K181" s="27" t="str">
        <f>IFERROR(IF(Tabla3[[#This Row],[OEE]]&lt;&gt;"No",Tabla3[[#This Row],[OEE]]/Tabla3[[#This Row],[Disponibilidad]],""),0)</f>
        <v/>
      </c>
    </row>
    <row r="182" spans="1:11" x14ac:dyDescent="0.25">
      <c r="A182" s="2">
        <v>45863</v>
      </c>
      <c r="B182" s="5">
        <f>SUMIFS('paradas-disp'!F:F,'paradas-disp'!A:A,Tabla3[[#This Row],[Fecha]])</f>
        <v>1.7361111111111105E-2</v>
      </c>
      <c r="C182" s="15">
        <f>SUMIFS('paradas-disp'!I:I,'paradas-disp'!A:A,Tabla3[[#This Row],[Fecha]])</f>
        <v>1073</v>
      </c>
      <c r="D182" s="15">
        <f>IF(Tabla3[[#This Row],[Fecha]]&lt;53,"",IFERROR(((HOUR(Tabla3[[#This Row],[Horas]])*60+MINUTE(Tabla3[[#This Row],[Horas]]))/60)*$D$1,""))</f>
        <v>750</v>
      </c>
      <c r="E182" s="22">
        <f>IFERROR(Tabla3[[#This Row],[Cantidad producida]]/Tabla3[[#This Row],[Cantidad teórica]],"")</f>
        <v>1.4306666666666668</v>
      </c>
      <c r="F182" s="22">
        <f>IF(Tabla3[[#This Row],[Fecha]]&lt;53,"",IFERROR(Tabla3[[#This Row],[Horas]]/$F$1,""))</f>
        <v>2.7777777777777769E-2</v>
      </c>
      <c r="G182" s="15" t="str">
        <f>IF(Tabla3[[#This Row],[Disponibilidad]]="","",IF(Tabla3[[#This Row],[Disponibilidad]]&gt;1,"NO",""))</f>
        <v/>
      </c>
      <c r="H182" t="str">
        <f>IFERROR(IF(VLOOKUP(Tabla3[[#This Row],[Fecha]],Tabla1[[Día]:[P/LC/CF/CL]],5,FALSE)="LC","SI",""),"")</f>
        <v/>
      </c>
      <c r="I182" s="22">
        <f>IFERROR(Tabla3[[#This Row],[Disponibilidad]]*Tabla3[[#This Row],[Rendimiento]], IF(Tabla3[[#This Row],[LC]]="SI", 0, "No"))</f>
        <v>3.9740740740740729E-2</v>
      </c>
      <c r="J182" s="16">
        <f>IF(Tabla3[[#This Row],[OEE]]="No","",WEEKNUM(Tabla3[[#This Row],[Fecha]]))</f>
        <v>30</v>
      </c>
      <c r="K182" s="27">
        <f>IFERROR(IF(Tabla3[[#This Row],[OEE]]&lt;&gt;"No",Tabla3[[#This Row],[OEE]]/Tabla3[[#This Row],[Disponibilidad]],""),0)</f>
        <v>1.4306666666666668</v>
      </c>
    </row>
    <row r="183" spans="1:11" x14ac:dyDescent="0.25">
      <c r="A183" s="2">
        <v>45864</v>
      </c>
      <c r="B183" s="5">
        <f>SUMIFS('paradas-disp'!F:F,'paradas-disp'!A:A,Tabla3[[#This Row],[Fecha]])</f>
        <v>0</v>
      </c>
      <c r="C183" s="15">
        <f>SUMIFS('paradas-disp'!I:I,'paradas-disp'!A:A,Tabla3[[#This Row],[Fecha]])</f>
        <v>0</v>
      </c>
      <c r="D183" s="15">
        <f>IF(Tabla3[[#This Row],[Fecha]]&lt;53,"",IFERROR(((HOUR(Tabla3[[#This Row],[Horas]])*60+MINUTE(Tabla3[[#This Row],[Horas]]))/60)*$D$1,""))</f>
        <v>0</v>
      </c>
      <c r="E183" s="22" t="str">
        <f>IFERROR(Tabla3[[#This Row],[Cantidad producida]]/Tabla3[[#This Row],[Cantidad teórica]],"")</f>
        <v/>
      </c>
      <c r="F183" s="22">
        <f>IF(Tabla3[[#This Row],[Fecha]]&lt;53,"",IFERROR(Tabla3[[#This Row],[Horas]]/$F$1,""))</f>
        <v>0</v>
      </c>
      <c r="G183" s="15" t="str">
        <f>IF(Tabla3[[#This Row],[Disponibilidad]]="","",IF(Tabla3[[#This Row],[Disponibilidad]]&gt;1,"NO",""))</f>
        <v/>
      </c>
      <c r="H183" t="str">
        <f>IFERROR(IF(VLOOKUP(Tabla3[[#This Row],[Fecha]],Tabla1[[Día]:[P/LC/CF/CL]],5,FALSE)="LC","SI",""),"")</f>
        <v/>
      </c>
      <c r="I183" s="22" t="str">
        <f>IFERROR(Tabla3[[#This Row],[Disponibilidad]]*Tabla3[[#This Row],[Rendimiento]], IF(Tabla3[[#This Row],[LC]]="SI", 0, "No"))</f>
        <v>No</v>
      </c>
      <c r="J183" s="16" t="str">
        <f>IF(Tabla3[[#This Row],[OEE]]="No","",WEEKNUM(Tabla3[[#This Row],[Fecha]]))</f>
        <v/>
      </c>
      <c r="K183" s="27" t="str">
        <f>IFERROR(IF(Tabla3[[#This Row],[OEE]]&lt;&gt;"No",Tabla3[[#This Row],[OEE]]/Tabla3[[#This Row],[Disponibilidad]],""),0)</f>
        <v/>
      </c>
    </row>
    <row r="184" spans="1:11" x14ac:dyDescent="0.25">
      <c r="A184" s="2">
        <v>45865</v>
      </c>
      <c r="B184" s="5">
        <f>SUMIFS('paradas-disp'!F:F,'paradas-disp'!A:A,Tabla3[[#This Row],[Fecha]])</f>
        <v>0</v>
      </c>
      <c r="C184" s="15">
        <f>SUMIFS('paradas-disp'!I:I,'paradas-disp'!A:A,Tabla3[[#This Row],[Fecha]])</f>
        <v>0</v>
      </c>
      <c r="D184" s="15">
        <f>IF(Tabla3[[#This Row],[Fecha]]&lt;53,"",IFERROR(((HOUR(Tabla3[[#This Row],[Horas]])*60+MINUTE(Tabla3[[#This Row],[Horas]]))/60)*$D$1,""))</f>
        <v>0</v>
      </c>
      <c r="E184" s="22" t="str">
        <f>IFERROR(Tabla3[[#This Row],[Cantidad producida]]/Tabla3[[#This Row],[Cantidad teórica]],"")</f>
        <v/>
      </c>
      <c r="F184" s="22">
        <f>IF(Tabla3[[#This Row],[Fecha]]&lt;53,"",IFERROR(Tabla3[[#This Row],[Horas]]/$F$1,""))</f>
        <v>0</v>
      </c>
      <c r="G184" s="15" t="str">
        <f>IF(Tabla3[[#This Row],[Disponibilidad]]="","",IF(Tabla3[[#This Row],[Disponibilidad]]&gt;1,"NO",""))</f>
        <v/>
      </c>
      <c r="H184" t="str">
        <f>IFERROR(IF(VLOOKUP(Tabla3[[#This Row],[Fecha]],Tabla1[[Día]:[P/LC/CF/CL]],5,FALSE)="LC","SI",""),"")</f>
        <v/>
      </c>
      <c r="I184" s="22" t="str">
        <f>IFERROR(Tabla3[[#This Row],[Disponibilidad]]*Tabla3[[#This Row],[Rendimiento]], IF(Tabla3[[#This Row],[LC]]="SI", 0, "No"))</f>
        <v>No</v>
      </c>
      <c r="J184" s="16" t="str">
        <f>IF(Tabla3[[#This Row],[OEE]]="No","",WEEKNUM(Tabla3[[#This Row],[Fecha]]))</f>
        <v/>
      </c>
      <c r="K184" s="27" t="str">
        <f>IFERROR(IF(Tabla3[[#This Row],[OEE]]&lt;&gt;"No",Tabla3[[#This Row],[OEE]]/Tabla3[[#This Row],[Disponibilidad]],""),0)</f>
        <v/>
      </c>
    </row>
    <row r="185" spans="1:11" x14ac:dyDescent="0.25">
      <c r="A185" s="2">
        <v>45866</v>
      </c>
      <c r="B185" s="5">
        <f>SUMIFS('paradas-disp'!F:F,'paradas-disp'!A:A,Tabla3[[#This Row],[Fecha]])</f>
        <v>0</v>
      </c>
      <c r="C185" s="15">
        <f>SUMIFS('paradas-disp'!I:I,'paradas-disp'!A:A,Tabla3[[#This Row],[Fecha]])</f>
        <v>0</v>
      </c>
      <c r="D185" s="15">
        <f>IF(Tabla3[[#This Row],[Fecha]]&lt;53,"",IFERROR(((HOUR(Tabla3[[#This Row],[Horas]])*60+MINUTE(Tabla3[[#This Row],[Horas]]))/60)*$D$1,""))</f>
        <v>0</v>
      </c>
      <c r="E185" s="22" t="str">
        <f>IFERROR(Tabla3[[#This Row],[Cantidad producida]]/Tabla3[[#This Row],[Cantidad teórica]],"")</f>
        <v/>
      </c>
      <c r="F185" s="22">
        <f>IF(Tabla3[[#This Row],[Fecha]]&lt;53,"",IFERROR(Tabla3[[#This Row],[Horas]]/$F$1,""))</f>
        <v>0</v>
      </c>
      <c r="G185" s="15" t="str">
        <f>IF(Tabla3[[#This Row],[Disponibilidad]]="","",IF(Tabla3[[#This Row],[Disponibilidad]]&gt;1,"NO",""))</f>
        <v/>
      </c>
      <c r="H185" t="str">
        <f>IFERROR(IF(VLOOKUP(Tabla3[[#This Row],[Fecha]],Tabla1[[Día]:[P/LC/CF/CL]],5,FALSE)="LC","SI",""),"")</f>
        <v/>
      </c>
      <c r="I185" s="22" t="str">
        <f>IFERROR(Tabla3[[#This Row],[Disponibilidad]]*Tabla3[[#This Row],[Rendimiento]], IF(Tabla3[[#This Row],[LC]]="SI", 0, "No"))</f>
        <v>No</v>
      </c>
      <c r="J185" s="16" t="str">
        <f>IF(Tabla3[[#This Row],[OEE]]="No","",WEEKNUM(Tabla3[[#This Row],[Fecha]]))</f>
        <v/>
      </c>
      <c r="K185" s="27" t="str">
        <f>IFERROR(IF(Tabla3[[#This Row],[OEE]]&lt;&gt;"No",Tabla3[[#This Row],[OEE]]/Tabla3[[#This Row],[Disponibilidad]],""),0)</f>
        <v/>
      </c>
    </row>
    <row r="186" spans="1:11" x14ac:dyDescent="0.25">
      <c r="A186" s="2">
        <v>45867</v>
      </c>
      <c r="B186" s="5">
        <f>SUMIFS('paradas-disp'!F:F,'paradas-disp'!A:A,Tabla3[[#This Row],[Fecha]])</f>
        <v>0</v>
      </c>
      <c r="C186" s="15">
        <f>SUMIFS('paradas-disp'!I:I,'paradas-disp'!A:A,Tabla3[[#This Row],[Fecha]])</f>
        <v>0</v>
      </c>
      <c r="D186" s="15">
        <f>IF(Tabla3[[#This Row],[Fecha]]&lt;53,"",IFERROR(((HOUR(Tabla3[[#This Row],[Horas]])*60+MINUTE(Tabla3[[#This Row],[Horas]]))/60)*$D$1,""))</f>
        <v>0</v>
      </c>
      <c r="E186" s="22" t="str">
        <f>IFERROR(Tabla3[[#This Row],[Cantidad producida]]/Tabla3[[#This Row],[Cantidad teórica]],"")</f>
        <v/>
      </c>
      <c r="F186" s="22">
        <f>IF(Tabla3[[#This Row],[Fecha]]&lt;53,"",IFERROR(Tabla3[[#This Row],[Horas]]/$F$1,""))</f>
        <v>0</v>
      </c>
      <c r="G186" s="15" t="str">
        <f>IF(Tabla3[[#This Row],[Disponibilidad]]="","",IF(Tabla3[[#This Row],[Disponibilidad]]&gt;1,"NO",""))</f>
        <v/>
      </c>
      <c r="H186" t="str">
        <f>IFERROR(IF(VLOOKUP(Tabla3[[#This Row],[Fecha]],Tabla1[[Día]:[P/LC/CF/CL]],5,FALSE)="LC","SI",""),"")</f>
        <v/>
      </c>
      <c r="I186" s="22" t="str">
        <f>IFERROR(Tabla3[[#This Row],[Disponibilidad]]*Tabla3[[#This Row],[Rendimiento]], IF(Tabla3[[#This Row],[LC]]="SI", 0, "No"))</f>
        <v>No</v>
      </c>
      <c r="J186" s="16" t="str">
        <f>IF(Tabla3[[#This Row],[OEE]]="No","",WEEKNUM(Tabla3[[#This Row],[Fecha]]))</f>
        <v/>
      </c>
      <c r="K186" s="27" t="str">
        <f>IFERROR(IF(Tabla3[[#This Row],[OEE]]&lt;&gt;"No",Tabla3[[#This Row],[OEE]]/Tabla3[[#This Row],[Disponibilidad]],""),0)</f>
        <v/>
      </c>
    </row>
    <row r="187" spans="1:11" x14ac:dyDescent="0.25">
      <c r="A187" s="2">
        <v>45868</v>
      </c>
      <c r="B187" s="5">
        <f>SUMIFS('paradas-disp'!F:F,'paradas-disp'!A:A,Tabla3[[#This Row],[Fecha]])</f>
        <v>0</v>
      </c>
      <c r="C187" s="15">
        <f>SUMIFS('paradas-disp'!I:I,'paradas-disp'!A:A,Tabla3[[#This Row],[Fecha]])</f>
        <v>0</v>
      </c>
      <c r="D187" s="15">
        <f>IF(Tabla3[[#This Row],[Fecha]]&lt;53,"",IFERROR(((HOUR(Tabla3[[#This Row],[Horas]])*60+MINUTE(Tabla3[[#This Row],[Horas]]))/60)*$D$1,""))</f>
        <v>0</v>
      </c>
      <c r="E187" s="22" t="str">
        <f>IFERROR(Tabla3[[#This Row],[Cantidad producida]]/Tabla3[[#This Row],[Cantidad teórica]],"")</f>
        <v/>
      </c>
      <c r="F187" s="22">
        <f>IF(Tabla3[[#This Row],[Fecha]]&lt;53,"",IFERROR(Tabla3[[#This Row],[Horas]]/$F$1,""))</f>
        <v>0</v>
      </c>
      <c r="G187" s="15" t="str">
        <f>IF(Tabla3[[#This Row],[Disponibilidad]]="","",IF(Tabla3[[#This Row],[Disponibilidad]]&gt;1,"NO",""))</f>
        <v/>
      </c>
      <c r="H187" t="str">
        <f>IFERROR(IF(VLOOKUP(Tabla3[[#This Row],[Fecha]],Tabla1[[Día]:[P/LC/CF/CL]],5,FALSE)="LC","SI",""),"")</f>
        <v/>
      </c>
      <c r="I187" s="22" t="str">
        <f>IFERROR(Tabla3[[#This Row],[Disponibilidad]]*Tabla3[[#This Row],[Rendimiento]], IF(Tabla3[[#This Row],[LC]]="SI", 0, "No"))</f>
        <v>No</v>
      </c>
      <c r="J187" s="16" t="str">
        <f>IF(Tabla3[[#This Row],[OEE]]="No","",WEEKNUM(Tabla3[[#This Row],[Fecha]]))</f>
        <v/>
      </c>
      <c r="K187" s="27" t="str">
        <f>IFERROR(IF(Tabla3[[#This Row],[OEE]]&lt;&gt;"No",Tabla3[[#This Row],[OEE]]/Tabla3[[#This Row],[Disponibilidad]],""),0)</f>
        <v/>
      </c>
    </row>
    <row r="188" spans="1:11" x14ac:dyDescent="0.25">
      <c r="A188" s="2">
        <v>45869</v>
      </c>
      <c r="B188" s="5">
        <f>SUMIFS('paradas-disp'!F:F,'paradas-disp'!A:A,Tabla3[[#This Row],[Fecha]])</f>
        <v>0</v>
      </c>
      <c r="C188" s="15">
        <f>SUMIFS('paradas-disp'!I:I,'paradas-disp'!A:A,Tabla3[[#This Row],[Fecha]])</f>
        <v>0</v>
      </c>
      <c r="D188" s="15">
        <f>IF(Tabla3[[#This Row],[Fecha]]&lt;53,"",IFERROR(((HOUR(Tabla3[[#This Row],[Horas]])*60+MINUTE(Tabla3[[#This Row],[Horas]]))/60)*$D$1,""))</f>
        <v>0</v>
      </c>
      <c r="E188" s="22" t="str">
        <f>IFERROR(Tabla3[[#This Row],[Cantidad producida]]/Tabla3[[#This Row],[Cantidad teórica]],"")</f>
        <v/>
      </c>
      <c r="F188" s="22">
        <f>IF(Tabla3[[#This Row],[Fecha]]&lt;53,"",IFERROR(Tabla3[[#This Row],[Horas]]/$F$1,""))</f>
        <v>0</v>
      </c>
      <c r="G188" s="15" t="str">
        <f>IF(Tabla3[[#This Row],[Disponibilidad]]="","",IF(Tabla3[[#This Row],[Disponibilidad]]&gt;1,"NO",""))</f>
        <v/>
      </c>
      <c r="H188" t="str">
        <f>IFERROR(IF(VLOOKUP(Tabla3[[#This Row],[Fecha]],Tabla1[[Día]:[P/LC/CF/CL]],5,FALSE)="LC","SI",""),"")</f>
        <v/>
      </c>
      <c r="I188" s="22" t="str">
        <f>IFERROR(Tabla3[[#This Row],[Disponibilidad]]*Tabla3[[#This Row],[Rendimiento]], IF(Tabla3[[#This Row],[LC]]="SI", 0, "No"))</f>
        <v>No</v>
      </c>
      <c r="J188" s="16" t="str">
        <f>IF(Tabla3[[#This Row],[OEE]]="No","",WEEKNUM(Tabla3[[#This Row],[Fecha]]))</f>
        <v/>
      </c>
      <c r="K188" s="27" t="str">
        <f>IFERROR(IF(Tabla3[[#This Row],[OEE]]&lt;&gt;"No",Tabla3[[#This Row],[OEE]]/Tabla3[[#This Row],[Disponibilidad]],""),0)</f>
        <v/>
      </c>
    </row>
    <row r="189" spans="1:11" x14ac:dyDescent="0.25">
      <c r="A189" s="2">
        <v>45870</v>
      </c>
      <c r="B189" s="5">
        <f>SUMIFS('paradas-disp'!F:F,'paradas-disp'!A:A,Tabla3[[#This Row],[Fecha]])</f>
        <v>0</v>
      </c>
      <c r="C189" s="15">
        <f>SUMIFS('paradas-disp'!I:I,'paradas-disp'!A:A,Tabla3[[#This Row],[Fecha]])</f>
        <v>0</v>
      </c>
      <c r="D189" s="15">
        <f>IF(Tabla3[[#This Row],[Fecha]]&lt;53,"",IFERROR(((HOUR(Tabla3[[#This Row],[Horas]])*60+MINUTE(Tabla3[[#This Row],[Horas]]))/60)*$D$1,""))</f>
        <v>0</v>
      </c>
      <c r="E189" s="22" t="str">
        <f>IFERROR(Tabla3[[#This Row],[Cantidad producida]]/Tabla3[[#This Row],[Cantidad teórica]],"")</f>
        <v/>
      </c>
      <c r="F189" s="22">
        <f>IF(Tabla3[[#This Row],[Fecha]]&lt;53,"",IFERROR(Tabla3[[#This Row],[Horas]]/$F$1,""))</f>
        <v>0</v>
      </c>
      <c r="G189" s="15" t="str">
        <f>IF(Tabla3[[#This Row],[Disponibilidad]]="","",IF(Tabla3[[#This Row],[Disponibilidad]]&gt;1,"NO",""))</f>
        <v/>
      </c>
      <c r="H189" t="str">
        <f>IFERROR(IF(VLOOKUP(Tabla3[[#This Row],[Fecha]],Tabla1[[Día]:[P/LC/CF/CL]],5,FALSE)="LC","SI",""),"")</f>
        <v/>
      </c>
      <c r="I189" s="22" t="str">
        <f>IFERROR(Tabla3[[#This Row],[Disponibilidad]]*Tabla3[[#This Row],[Rendimiento]], IF(Tabla3[[#This Row],[LC]]="SI", 0, "No"))</f>
        <v>No</v>
      </c>
      <c r="J189" s="16" t="str">
        <f>IF(Tabla3[[#This Row],[OEE]]="No","",WEEKNUM(Tabla3[[#This Row],[Fecha]]))</f>
        <v/>
      </c>
      <c r="K189" s="27" t="str">
        <f>IFERROR(IF(Tabla3[[#This Row],[OEE]]&lt;&gt;"No",Tabla3[[#This Row],[OEE]]/Tabla3[[#This Row],[Disponibilidad]],""),0)</f>
        <v/>
      </c>
    </row>
    <row r="190" spans="1:11" x14ac:dyDescent="0.25">
      <c r="A190" s="2">
        <v>45871</v>
      </c>
      <c r="B190" s="5">
        <f>SUMIFS('paradas-disp'!F:F,'paradas-disp'!A:A,Tabla3[[#This Row],[Fecha]])</f>
        <v>0</v>
      </c>
      <c r="C190" s="15">
        <f>SUMIFS('paradas-disp'!I:I,'paradas-disp'!A:A,Tabla3[[#This Row],[Fecha]])</f>
        <v>0</v>
      </c>
      <c r="D190" s="15">
        <f>IF(Tabla3[[#This Row],[Fecha]]&lt;53,"",IFERROR(((HOUR(Tabla3[[#This Row],[Horas]])*60+MINUTE(Tabla3[[#This Row],[Horas]]))/60)*$D$1,""))</f>
        <v>0</v>
      </c>
      <c r="E190" s="22" t="str">
        <f>IFERROR(Tabla3[[#This Row],[Cantidad producida]]/Tabla3[[#This Row],[Cantidad teórica]],"")</f>
        <v/>
      </c>
      <c r="F190" s="22">
        <f>IF(Tabla3[[#This Row],[Fecha]]&lt;53,"",IFERROR(Tabla3[[#This Row],[Horas]]/$F$1,""))</f>
        <v>0</v>
      </c>
      <c r="G190" s="15" t="str">
        <f>IF(Tabla3[[#This Row],[Disponibilidad]]="","",IF(Tabla3[[#This Row],[Disponibilidad]]&gt;1,"NO",""))</f>
        <v/>
      </c>
      <c r="H190" t="str">
        <f>IFERROR(IF(VLOOKUP(Tabla3[[#This Row],[Fecha]],Tabla1[[Día]:[P/LC/CF/CL]],5,FALSE)="LC","SI",""),"")</f>
        <v/>
      </c>
      <c r="I190" s="22" t="str">
        <f>IFERROR(Tabla3[[#This Row],[Disponibilidad]]*Tabla3[[#This Row],[Rendimiento]], IF(Tabla3[[#This Row],[LC]]="SI", 0, "No"))</f>
        <v>No</v>
      </c>
      <c r="J190" s="16" t="str">
        <f>IF(Tabla3[[#This Row],[OEE]]="No","",WEEKNUM(Tabla3[[#This Row],[Fecha]]))</f>
        <v/>
      </c>
      <c r="K190" s="27" t="str">
        <f>IFERROR(IF(Tabla3[[#This Row],[OEE]]&lt;&gt;"No",Tabla3[[#This Row],[OEE]]/Tabla3[[#This Row],[Disponibilidad]],""),0)</f>
        <v/>
      </c>
    </row>
    <row r="191" spans="1:11" x14ac:dyDescent="0.25">
      <c r="A191" s="2">
        <v>45872</v>
      </c>
      <c r="B191" s="5">
        <f>SUMIFS('paradas-disp'!F:F,'paradas-disp'!A:A,Tabla3[[#This Row],[Fecha]])</f>
        <v>0</v>
      </c>
      <c r="C191" s="15">
        <f>SUMIFS('paradas-disp'!I:I,'paradas-disp'!A:A,Tabla3[[#This Row],[Fecha]])</f>
        <v>0</v>
      </c>
      <c r="D191" s="15">
        <f>IF(Tabla3[[#This Row],[Fecha]]&lt;53,"",IFERROR(((HOUR(Tabla3[[#This Row],[Horas]])*60+MINUTE(Tabla3[[#This Row],[Horas]]))/60)*$D$1,""))</f>
        <v>0</v>
      </c>
      <c r="E191" s="22" t="str">
        <f>IFERROR(Tabla3[[#This Row],[Cantidad producida]]/Tabla3[[#This Row],[Cantidad teórica]],"")</f>
        <v/>
      </c>
      <c r="F191" s="22">
        <f>IF(Tabla3[[#This Row],[Fecha]]&lt;53,"",IFERROR(Tabla3[[#This Row],[Horas]]/$F$1,""))</f>
        <v>0</v>
      </c>
      <c r="G191" s="15" t="str">
        <f>IF(Tabla3[[#This Row],[Disponibilidad]]="","",IF(Tabla3[[#This Row],[Disponibilidad]]&gt;1,"NO",""))</f>
        <v/>
      </c>
      <c r="H191" t="str">
        <f>IFERROR(IF(VLOOKUP(Tabla3[[#This Row],[Fecha]],Tabla1[[Día]:[P/LC/CF/CL]],5,FALSE)="LC","SI",""),"")</f>
        <v/>
      </c>
      <c r="I191" s="22" t="str">
        <f>IFERROR(Tabla3[[#This Row],[Disponibilidad]]*Tabla3[[#This Row],[Rendimiento]], IF(Tabla3[[#This Row],[LC]]="SI", 0, "No"))</f>
        <v>No</v>
      </c>
      <c r="J191" s="16" t="str">
        <f>IF(Tabla3[[#This Row],[OEE]]="No","",WEEKNUM(Tabla3[[#This Row],[Fecha]]))</f>
        <v/>
      </c>
      <c r="K191" s="27" t="str">
        <f>IFERROR(IF(Tabla3[[#This Row],[OEE]]&lt;&gt;"No",Tabla3[[#This Row],[OEE]]/Tabla3[[#This Row],[Disponibilidad]],""),0)</f>
        <v/>
      </c>
    </row>
    <row r="192" spans="1:11" x14ac:dyDescent="0.25">
      <c r="A192" s="2">
        <v>45873</v>
      </c>
      <c r="B192" s="5">
        <f>SUMIFS('paradas-disp'!F:F,'paradas-disp'!A:A,Tabla3[[#This Row],[Fecha]])</f>
        <v>0</v>
      </c>
      <c r="C192" s="15">
        <f>SUMIFS('paradas-disp'!I:I,'paradas-disp'!A:A,Tabla3[[#This Row],[Fecha]])</f>
        <v>0</v>
      </c>
      <c r="D192" s="15">
        <f>IF(Tabla3[[#This Row],[Fecha]]&lt;53,"",IFERROR(((HOUR(Tabla3[[#This Row],[Horas]])*60+MINUTE(Tabla3[[#This Row],[Horas]]))/60)*$D$1,""))</f>
        <v>0</v>
      </c>
      <c r="E192" s="22" t="str">
        <f>IFERROR(Tabla3[[#This Row],[Cantidad producida]]/Tabla3[[#This Row],[Cantidad teórica]],"")</f>
        <v/>
      </c>
      <c r="F192" s="22">
        <f>IF(Tabla3[[#This Row],[Fecha]]&lt;53,"",IFERROR(Tabla3[[#This Row],[Horas]]/$F$1,""))</f>
        <v>0</v>
      </c>
      <c r="G192" s="15" t="str">
        <f>IF(Tabla3[[#This Row],[Disponibilidad]]="","",IF(Tabla3[[#This Row],[Disponibilidad]]&gt;1,"NO",""))</f>
        <v/>
      </c>
      <c r="H192" t="str">
        <f>IFERROR(IF(VLOOKUP(Tabla3[[#This Row],[Fecha]],Tabla1[[Día]:[P/LC/CF/CL]],5,FALSE)="LC","SI",""),"")</f>
        <v/>
      </c>
      <c r="I192" s="22" t="str">
        <f>IFERROR(Tabla3[[#This Row],[Disponibilidad]]*Tabla3[[#This Row],[Rendimiento]], IF(Tabla3[[#This Row],[LC]]="SI", 0, "No"))</f>
        <v>No</v>
      </c>
      <c r="J192" s="16" t="str">
        <f>IF(Tabla3[[#This Row],[OEE]]="No","",WEEKNUM(Tabla3[[#This Row],[Fecha]]))</f>
        <v/>
      </c>
      <c r="K192" s="27" t="str">
        <f>IFERROR(IF(Tabla3[[#This Row],[OEE]]&lt;&gt;"No",Tabla3[[#This Row],[OEE]]/Tabla3[[#This Row],[Disponibilidad]],""),0)</f>
        <v/>
      </c>
    </row>
    <row r="193" spans="1:11" x14ac:dyDescent="0.25">
      <c r="A193" s="2">
        <v>45874</v>
      </c>
      <c r="B193" s="5">
        <f>SUMIFS('paradas-disp'!F:F,'paradas-disp'!A:A,Tabla3[[#This Row],[Fecha]])</f>
        <v>0</v>
      </c>
      <c r="C193" s="15">
        <f>SUMIFS('paradas-disp'!I:I,'paradas-disp'!A:A,Tabla3[[#This Row],[Fecha]])</f>
        <v>0</v>
      </c>
      <c r="D193" s="15">
        <f>IF(Tabla3[[#This Row],[Fecha]]&lt;53,"",IFERROR(((HOUR(Tabla3[[#This Row],[Horas]])*60+MINUTE(Tabla3[[#This Row],[Horas]]))/60)*$D$1,""))</f>
        <v>0</v>
      </c>
      <c r="E193" s="22" t="str">
        <f>IFERROR(Tabla3[[#This Row],[Cantidad producida]]/Tabla3[[#This Row],[Cantidad teórica]],"")</f>
        <v/>
      </c>
      <c r="F193" s="22">
        <f>IF(Tabla3[[#This Row],[Fecha]]&lt;53,"",IFERROR(Tabla3[[#This Row],[Horas]]/$F$1,""))</f>
        <v>0</v>
      </c>
      <c r="G193" s="15" t="str">
        <f>IF(Tabla3[[#This Row],[Disponibilidad]]="","",IF(Tabla3[[#This Row],[Disponibilidad]]&gt;1,"NO",""))</f>
        <v/>
      </c>
      <c r="H193" t="str">
        <f>IFERROR(IF(VLOOKUP(Tabla3[[#This Row],[Fecha]],Tabla1[[Día]:[P/LC/CF/CL]],5,FALSE)="LC","SI",""),"")</f>
        <v/>
      </c>
      <c r="I193" s="22" t="str">
        <f>IFERROR(Tabla3[[#This Row],[Disponibilidad]]*Tabla3[[#This Row],[Rendimiento]], IF(Tabla3[[#This Row],[LC]]="SI", 0, "No"))</f>
        <v>No</v>
      </c>
      <c r="J193" s="16" t="str">
        <f>IF(Tabla3[[#This Row],[OEE]]="No","",WEEKNUM(Tabla3[[#This Row],[Fecha]]))</f>
        <v/>
      </c>
      <c r="K193" s="27" t="str">
        <f>IFERROR(IF(Tabla3[[#This Row],[OEE]]&lt;&gt;"No",Tabla3[[#This Row],[OEE]]/Tabla3[[#This Row],[Disponibilidad]],""),0)</f>
        <v/>
      </c>
    </row>
    <row r="194" spans="1:11" x14ac:dyDescent="0.25">
      <c r="A194" s="2">
        <v>45875</v>
      </c>
      <c r="B194" s="5">
        <f>SUMIFS('paradas-disp'!F:F,'paradas-disp'!A:A,Tabla3[[#This Row],[Fecha]])</f>
        <v>0</v>
      </c>
      <c r="C194" s="15">
        <f>SUMIFS('paradas-disp'!I:I,'paradas-disp'!A:A,Tabla3[[#This Row],[Fecha]])</f>
        <v>0</v>
      </c>
      <c r="D194" s="15">
        <f>IF(Tabla3[[#This Row],[Fecha]]&lt;53,"",IFERROR(((HOUR(Tabla3[[#This Row],[Horas]])*60+MINUTE(Tabla3[[#This Row],[Horas]]))/60)*$D$1,""))</f>
        <v>0</v>
      </c>
      <c r="E194" s="22" t="str">
        <f>IFERROR(Tabla3[[#This Row],[Cantidad producida]]/Tabla3[[#This Row],[Cantidad teórica]],"")</f>
        <v/>
      </c>
      <c r="F194" s="22">
        <f>IF(Tabla3[[#This Row],[Fecha]]&lt;53,"",IFERROR(Tabla3[[#This Row],[Horas]]/$F$1,""))</f>
        <v>0</v>
      </c>
      <c r="G194" s="15" t="str">
        <f>IF(Tabla3[[#This Row],[Disponibilidad]]="","",IF(Tabla3[[#This Row],[Disponibilidad]]&gt;1,"NO",""))</f>
        <v/>
      </c>
      <c r="H194" t="str">
        <f>IFERROR(IF(VLOOKUP(Tabla3[[#This Row],[Fecha]],Tabla1[[Día]:[P/LC/CF/CL]],5,FALSE)="LC","SI",""),"")</f>
        <v/>
      </c>
      <c r="I194" s="22" t="str">
        <f>IFERROR(Tabla3[[#This Row],[Disponibilidad]]*Tabla3[[#This Row],[Rendimiento]], IF(Tabla3[[#This Row],[LC]]="SI", 0, "No"))</f>
        <v>No</v>
      </c>
      <c r="J194" s="16" t="str">
        <f>IF(Tabla3[[#This Row],[OEE]]="No","",WEEKNUM(Tabla3[[#This Row],[Fecha]]))</f>
        <v/>
      </c>
      <c r="K194" s="27" t="str">
        <f>IFERROR(IF(Tabla3[[#This Row],[OEE]]&lt;&gt;"No",Tabla3[[#This Row],[OEE]]/Tabla3[[#This Row],[Disponibilidad]],""),0)</f>
        <v/>
      </c>
    </row>
    <row r="195" spans="1:11" x14ac:dyDescent="0.25">
      <c r="A195" s="2">
        <v>45876</v>
      </c>
      <c r="B195" s="5">
        <f>SUMIFS('paradas-disp'!F:F,'paradas-disp'!A:A,Tabla3[[#This Row],[Fecha]])</f>
        <v>0</v>
      </c>
      <c r="C195" s="15">
        <f>SUMIFS('paradas-disp'!I:I,'paradas-disp'!A:A,Tabla3[[#This Row],[Fecha]])</f>
        <v>0</v>
      </c>
      <c r="D195" s="15">
        <f>IF(Tabla3[[#This Row],[Fecha]]&lt;53,"",IFERROR(((HOUR(Tabla3[[#This Row],[Horas]])*60+MINUTE(Tabla3[[#This Row],[Horas]]))/60)*$D$1,""))</f>
        <v>0</v>
      </c>
      <c r="E195" s="22" t="str">
        <f>IFERROR(Tabla3[[#This Row],[Cantidad producida]]/Tabla3[[#This Row],[Cantidad teórica]],"")</f>
        <v/>
      </c>
      <c r="F195" s="22">
        <f>IF(Tabla3[[#This Row],[Fecha]]&lt;53,"",IFERROR(Tabla3[[#This Row],[Horas]]/$F$1,""))</f>
        <v>0</v>
      </c>
      <c r="G195" s="15" t="str">
        <f>IF(Tabla3[[#This Row],[Disponibilidad]]="","",IF(Tabla3[[#This Row],[Disponibilidad]]&gt;1,"NO",""))</f>
        <v/>
      </c>
      <c r="H195" t="str">
        <f>IFERROR(IF(VLOOKUP(Tabla3[[#This Row],[Fecha]],Tabla1[[Día]:[P/LC/CF/CL]],5,FALSE)="LC","SI",""),"")</f>
        <v/>
      </c>
      <c r="I195" s="22" t="str">
        <f>IFERROR(Tabla3[[#This Row],[Disponibilidad]]*Tabla3[[#This Row],[Rendimiento]], IF(Tabla3[[#This Row],[LC]]="SI", 0, "No"))</f>
        <v>No</v>
      </c>
      <c r="J195" s="16" t="str">
        <f>IF(Tabla3[[#This Row],[OEE]]="No","",WEEKNUM(Tabla3[[#This Row],[Fecha]]))</f>
        <v/>
      </c>
      <c r="K195" s="27" t="str">
        <f>IFERROR(IF(Tabla3[[#This Row],[OEE]]&lt;&gt;"No",Tabla3[[#This Row],[OEE]]/Tabla3[[#This Row],[Disponibilidad]],""),0)</f>
        <v/>
      </c>
    </row>
    <row r="196" spans="1:11" x14ac:dyDescent="0.25">
      <c r="A196" s="2">
        <v>45877</v>
      </c>
      <c r="B196" s="5">
        <f>SUMIFS('paradas-disp'!F:F,'paradas-disp'!A:A,Tabla3[[#This Row],[Fecha]])</f>
        <v>0</v>
      </c>
      <c r="C196" s="15">
        <f>SUMIFS('paradas-disp'!I:I,'paradas-disp'!A:A,Tabla3[[#This Row],[Fecha]])</f>
        <v>0</v>
      </c>
      <c r="D196" s="15">
        <f>IF(Tabla3[[#This Row],[Fecha]]&lt;53,"",IFERROR(((HOUR(Tabla3[[#This Row],[Horas]])*60+MINUTE(Tabla3[[#This Row],[Horas]]))/60)*$D$1,""))</f>
        <v>0</v>
      </c>
      <c r="E196" s="22" t="str">
        <f>IFERROR(Tabla3[[#This Row],[Cantidad producida]]/Tabla3[[#This Row],[Cantidad teórica]],"")</f>
        <v/>
      </c>
      <c r="F196" s="22">
        <f>IF(Tabla3[[#This Row],[Fecha]]&lt;53,"",IFERROR(Tabla3[[#This Row],[Horas]]/$F$1,""))</f>
        <v>0</v>
      </c>
      <c r="G196" s="15" t="str">
        <f>IF(Tabla3[[#This Row],[Disponibilidad]]="","",IF(Tabla3[[#This Row],[Disponibilidad]]&gt;1,"NO",""))</f>
        <v/>
      </c>
      <c r="H196" t="str">
        <f>IFERROR(IF(VLOOKUP(Tabla3[[#This Row],[Fecha]],Tabla1[[Día]:[P/LC/CF/CL]],5,FALSE)="LC","SI",""),"")</f>
        <v/>
      </c>
      <c r="I196" s="22" t="str">
        <f>IFERROR(Tabla3[[#This Row],[Disponibilidad]]*Tabla3[[#This Row],[Rendimiento]], IF(Tabla3[[#This Row],[LC]]="SI", 0, "No"))</f>
        <v>No</v>
      </c>
      <c r="J196" s="16" t="str">
        <f>IF(Tabla3[[#This Row],[OEE]]="No","",WEEKNUM(Tabla3[[#This Row],[Fecha]]))</f>
        <v/>
      </c>
      <c r="K196" s="27" t="str">
        <f>IFERROR(IF(Tabla3[[#This Row],[OEE]]&lt;&gt;"No",Tabla3[[#This Row],[OEE]]/Tabla3[[#This Row],[Disponibilidad]],""),0)</f>
        <v/>
      </c>
    </row>
    <row r="197" spans="1:11" x14ac:dyDescent="0.25">
      <c r="A197" s="2">
        <v>45878</v>
      </c>
      <c r="B197" s="5">
        <f>SUMIFS('paradas-disp'!F:F,'paradas-disp'!A:A,Tabla3[[#This Row],[Fecha]])</f>
        <v>0</v>
      </c>
      <c r="C197" s="15">
        <f>SUMIFS('paradas-disp'!I:I,'paradas-disp'!A:A,Tabla3[[#This Row],[Fecha]])</f>
        <v>0</v>
      </c>
      <c r="D197" s="15">
        <f>IF(Tabla3[[#This Row],[Fecha]]&lt;53,"",IFERROR(((HOUR(Tabla3[[#This Row],[Horas]])*60+MINUTE(Tabla3[[#This Row],[Horas]]))/60)*$D$1,""))</f>
        <v>0</v>
      </c>
      <c r="E197" s="22" t="str">
        <f>IFERROR(Tabla3[[#This Row],[Cantidad producida]]/Tabla3[[#This Row],[Cantidad teórica]],"")</f>
        <v/>
      </c>
      <c r="F197" s="22">
        <f>IF(Tabla3[[#This Row],[Fecha]]&lt;53,"",IFERROR(Tabla3[[#This Row],[Horas]]/$F$1,""))</f>
        <v>0</v>
      </c>
      <c r="G197" s="15" t="str">
        <f>IF(Tabla3[[#This Row],[Disponibilidad]]="","",IF(Tabla3[[#This Row],[Disponibilidad]]&gt;1,"NO",""))</f>
        <v/>
      </c>
      <c r="H197" t="str">
        <f>IFERROR(IF(VLOOKUP(Tabla3[[#This Row],[Fecha]],Tabla1[[Día]:[P/LC/CF/CL]],5,FALSE)="LC","SI",""),"")</f>
        <v/>
      </c>
      <c r="I197" s="22" t="str">
        <f>IFERROR(Tabla3[[#This Row],[Disponibilidad]]*Tabla3[[#This Row],[Rendimiento]], IF(Tabla3[[#This Row],[LC]]="SI", 0, "No"))</f>
        <v>No</v>
      </c>
      <c r="J197" s="16" t="str">
        <f>IF(Tabla3[[#This Row],[OEE]]="No","",WEEKNUM(Tabla3[[#This Row],[Fecha]]))</f>
        <v/>
      </c>
      <c r="K197" s="27" t="str">
        <f>IFERROR(IF(Tabla3[[#This Row],[OEE]]&lt;&gt;"No",Tabla3[[#This Row],[OEE]]/Tabla3[[#This Row],[Disponibilidad]],""),0)</f>
        <v/>
      </c>
    </row>
    <row r="198" spans="1:11" x14ac:dyDescent="0.25">
      <c r="A198" s="2">
        <v>45879</v>
      </c>
      <c r="B198" s="5">
        <f>SUMIFS('paradas-disp'!F:F,'paradas-disp'!A:A,Tabla3[[#This Row],[Fecha]])</f>
        <v>0</v>
      </c>
      <c r="C198" s="15">
        <f>SUMIFS('paradas-disp'!I:I,'paradas-disp'!A:A,Tabla3[[#This Row],[Fecha]])</f>
        <v>0</v>
      </c>
      <c r="D198" s="15">
        <f>IF(Tabla3[[#This Row],[Fecha]]&lt;53,"",IFERROR(((HOUR(Tabla3[[#This Row],[Horas]])*60+MINUTE(Tabla3[[#This Row],[Horas]]))/60)*$D$1,""))</f>
        <v>0</v>
      </c>
      <c r="E198" s="22" t="str">
        <f>IFERROR(Tabla3[[#This Row],[Cantidad producida]]/Tabla3[[#This Row],[Cantidad teórica]],"")</f>
        <v/>
      </c>
      <c r="F198" s="22">
        <f>IF(Tabla3[[#This Row],[Fecha]]&lt;53,"",IFERROR(Tabla3[[#This Row],[Horas]]/$F$1,""))</f>
        <v>0</v>
      </c>
      <c r="G198" s="15" t="str">
        <f>IF(Tabla3[[#This Row],[Disponibilidad]]="","",IF(Tabla3[[#This Row],[Disponibilidad]]&gt;1,"NO",""))</f>
        <v/>
      </c>
      <c r="H198" t="str">
        <f>IFERROR(IF(VLOOKUP(Tabla3[[#This Row],[Fecha]],Tabla1[[Día]:[P/LC/CF/CL]],5,FALSE)="LC","SI",""),"")</f>
        <v/>
      </c>
      <c r="I198" s="22" t="str">
        <f>IFERROR(Tabla3[[#This Row],[Disponibilidad]]*Tabla3[[#This Row],[Rendimiento]], IF(Tabla3[[#This Row],[LC]]="SI", 0, "No"))</f>
        <v>No</v>
      </c>
      <c r="J198" s="16" t="str">
        <f>IF(Tabla3[[#This Row],[OEE]]="No","",WEEKNUM(Tabla3[[#This Row],[Fecha]]))</f>
        <v/>
      </c>
      <c r="K198" s="27" t="str">
        <f>IFERROR(IF(Tabla3[[#This Row],[OEE]]&lt;&gt;"No",Tabla3[[#This Row],[OEE]]/Tabla3[[#This Row],[Disponibilidad]],""),0)</f>
        <v/>
      </c>
    </row>
    <row r="199" spans="1:11" x14ac:dyDescent="0.25">
      <c r="A199" s="2">
        <v>45880</v>
      </c>
      <c r="B199" s="5">
        <f>SUMIFS('paradas-disp'!F:F,'paradas-disp'!A:A,Tabla3[[#This Row],[Fecha]])</f>
        <v>0</v>
      </c>
      <c r="C199" s="15">
        <f>SUMIFS('paradas-disp'!I:I,'paradas-disp'!A:A,Tabla3[[#This Row],[Fecha]])</f>
        <v>0</v>
      </c>
      <c r="D199" s="15">
        <f>IF(Tabla3[[#This Row],[Fecha]]&lt;53,"",IFERROR(((HOUR(Tabla3[[#This Row],[Horas]])*60+MINUTE(Tabla3[[#This Row],[Horas]]))/60)*$D$1,""))</f>
        <v>0</v>
      </c>
      <c r="E199" s="22" t="str">
        <f>IFERROR(Tabla3[[#This Row],[Cantidad producida]]/Tabla3[[#This Row],[Cantidad teórica]],"")</f>
        <v/>
      </c>
      <c r="F199" s="22">
        <f>IF(Tabla3[[#This Row],[Fecha]]&lt;53,"",IFERROR(Tabla3[[#This Row],[Horas]]/$F$1,""))</f>
        <v>0</v>
      </c>
      <c r="G199" s="15" t="str">
        <f>IF(Tabla3[[#This Row],[Disponibilidad]]="","",IF(Tabla3[[#This Row],[Disponibilidad]]&gt;1,"NO",""))</f>
        <v/>
      </c>
      <c r="H199" t="str">
        <f>IFERROR(IF(VLOOKUP(Tabla3[[#This Row],[Fecha]],Tabla1[[Día]:[P/LC/CF/CL]],5,FALSE)="LC","SI",""),"")</f>
        <v/>
      </c>
      <c r="I199" s="22" t="str">
        <f>IFERROR(Tabla3[[#This Row],[Disponibilidad]]*Tabla3[[#This Row],[Rendimiento]], IF(Tabla3[[#This Row],[LC]]="SI", 0, "No"))</f>
        <v>No</v>
      </c>
      <c r="J199" s="16" t="str">
        <f>IF(Tabla3[[#This Row],[OEE]]="No","",WEEKNUM(Tabla3[[#This Row],[Fecha]]))</f>
        <v/>
      </c>
      <c r="K199" s="27" t="str">
        <f>IFERROR(IF(Tabla3[[#This Row],[OEE]]&lt;&gt;"No",Tabla3[[#This Row],[OEE]]/Tabla3[[#This Row],[Disponibilidad]],""),0)</f>
        <v/>
      </c>
    </row>
    <row r="200" spans="1:11" x14ac:dyDescent="0.25">
      <c r="A200" s="2">
        <v>45881</v>
      </c>
      <c r="B200" s="5">
        <f>SUMIFS('paradas-disp'!F:F,'paradas-disp'!A:A,Tabla3[[#This Row],[Fecha]])</f>
        <v>0</v>
      </c>
      <c r="C200" s="15">
        <f>SUMIFS('paradas-disp'!I:I,'paradas-disp'!A:A,Tabla3[[#This Row],[Fecha]])</f>
        <v>0</v>
      </c>
      <c r="D200" s="15">
        <f>IF(Tabla3[[#This Row],[Fecha]]&lt;53,"",IFERROR(((HOUR(Tabla3[[#This Row],[Horas]])*60+MINUTE(Tabla3[[#This Row],[Horas]]))/60)*$D$1,""))</f>
        <v>0</v>
      </c>
      <c r="E200" s="22" t="str">
        <f>IFERROR(Tabla3[[#This Row],[Cantidad producida]]/Tabla3[[#This Row],[Cantidad teórica]],"")</f>
        <v/>
      </c>
      <c r="F200" s="22">
        <f>IF(Tabla3[[#This Row],[Fecha]]&lt;53,"",IFERROR(Tabla3[[#This Row],[Horas]]/$F$1,""))</f>
        <v>0</v>
      </c>
      <c r="G200" s="15" t="str">
        <f>IF(Tabla3[[#This Row],[Disponibilidad]]="","",IF(Tabla3[[#This Row],[Disponibilidad]]&gt;1,"NO",""))</f>
        <v/>
      </c>
      <c r="H200" t="str">
        <f>IFERROR(IF(VLOOKUP(Tabla3[[#This Row],[Fecha]],Tabla1[[Día]:[P/LC/CF/CL]],5,FALSE)="LC","SI",""),"")</f>
        <v/>
      </c>
      <c r="I200" s="22" t="str">
        <f>IFERROR(Tabla3[[#This Row],[Disponibilidad]]*Tabla3[[#This Row],[Rendimiento]], IF(Tabla3[[#This Row],[LC]]="SI", 0, "No"))</f>
        <v>No</v>
      </c>
      <c r="J200" s="16" t="str">
        <f>IF(Tabla3[[#This Row],[OEE]]="No","",WEEKNUM(Tabla3[[#This Row],[Fecha]]))</f>
        <v/>
      </c>
      <c r="K200" s="27" t="str">
        <f>IFERROR(IF(Tabla3[[#This Row],[OEE]]&lt;&gt;"No",Tabla3[[#This Row],[OEE]]/Tabla3[[#This Row],[Disponibilidad]],""),0)</f>
        <v/>
      </c>
    </row>
    <row r="201" spans="1:11" x14ac:dyDescent="0.25">
      <c r="A201" s="2">
        <v>45882</v>
      </c>
      <c r="B201" s="5">
        <f>SUMIFS('paradas-disp'!F:F,'paradas-disp'!A:A,Tabla3[[#This Row],[Fecha]])</f>
        <v>0</v>
      </c>
      <c r="C201" s="15">
        <f>SUMIFS('paradas-disp'!I:I,'paradas-disp'!A:A,Tabla3[[#This Row],[Fecha]])</f>
        <v>0</v>
      </c>
      <c r="D201" s="15">
        <f>IF(Tabla3[[#This Row],[Fecha]]&lt;53,"",IFERROR(((HOUR(Tabla3[[#This Row],[Horas]])*60+MINUTE(Tabla3[[#This Row],[Horas]]))/60)*$D$1,""))</f>
        <v>0</v>
      </c>
      <c r="E201" s="22" t="str">
        <f>IFERROR(Tabla3[[#This Row],[Cantidad producida]]/Tabla3[[#This Row],[Cantidad teórica]],"")</f>
        <v/>
      </c>
      <c r="F201" s="22">
        <f>IF(Tabla3[[#This Row],[Fecha]]&lt;53,"",IFERROR(Tabla3[[#This Row],[Horas]]/$F$1,""))</f>
        <v>0</v>
      </c>
      <c r="G201" s="15" t="str">
        <f>IF(Tabla3[[#This Row],[Disponibilidad]]="","",IF(Tabla3[[#This Row],[Disponibilidad]]&gt;1,"NO",""))</f>
        <v/>
      </c>
      <c r="H201" t="str">
        <f>IFERROR(IF(VLOOKUP(Tabla3[[#This Row],[Fecha]],Tabla1[[Día]:[P/LC/CF/CL]],5,FALSE)="LC","SI",""),"")</f>
        <v/>
      </c>
      <c r="I201" s="22" t="str">
        <f>IFERROR(Tabla3[[#This Row],[Disponibilidad]]*Tabla3[[#This Row],[Rendimiento]], IF(Tabla3[[#This Row],[LC]]="SI", 0, "No"))</f>
        <v>No</v>
      </c>
      <c r="J201" s="16" t="str">
        <f>IF(Tabla3[[#This Row],[OEE]]="No","",WEEKNUM(Tabla3[[#This Row],[Fecha]]))</f>
        <v/>
      </c>
      <c r="K201" s="27" t="str">
        <f>IFERROR(IF(Tabla3[[#This Row],[OEE]]&lt;&gt;"No",Tabla3[[#This Row],[OEE]]/Tabla3[[#This Row],[Disponibilidad]],""),0)</f>
        <v/>
      </c>
    </row>
    <row r="202" spans="1:11" x14ac:dyDescent="0.25">
      <c r="A202" s="2">
        <v>45883</v>
      </c>
      <c r="B202" s="5">
        <f>SUMIFS('paradas-disp'!F:F,'paradas-disp'!A:A,Tabla3[[#This Row],[Fecha]])</f>
        <v>0</v>
      </c>
      <c r="C202" s="15">
        <f>SUMIFS('paradas-disp'!I:I,'paradas-disp'!A:A,Tabla3[[#This Row],[Fecha]])</f>
        <v>0</v>
      </c>
      <c r="D202" s="15">
        <f>IF(Tabla3[[#This Row],[Fecha]]&lt;53,"",IFERROR(((HOUR(Tabla3[[#This Row],[Horas]])*60+MINUTE(Tabla3[[#This Row],[Horas]]))/60)*$D$1,""))</f>
        <v>0</v>
      </c>
      <c r="E202" s="22" t="str">
        <f>IFERROR(Tabla3[[#This Row],[Cantidad producida]]/Tabla3[[#This Row],[Cantidad teórica]],"")</f>
        <v/>
      </c>
      <c r="F202" s="22">
        <f>IF(Tabla3[[#This Row],[Fecha]]&lt;53,"",IFERROR(Tabla3[[#This Row],[Horas]]/$F$1,""))</f>
        <v>0</v>
      </c>
      <c r="G202" s="15" t="str">
        <f>IF(Tabla3[[#This Row],[Disponibilidad]]="","",IF(Tabla3[[#This Row],[Disponibilidad]]&gt;1,"NO",""))</f>
        <v/>
      </c>
      <c r="H202" t="str">
        <f>IFERROR(IF(VLOOKUP(Tabla3[[#This Row],[Fecha]],Tabla1[[Día]:[P/LC/CF/CL]],5,FALSE)="LC","SI",""),"")</f>
        <v/>
      </c>
      <c r="I202" s="22" t="str">
        <f>IFERROR(Tabla3[[#This Row],[Disponibilidad]]*Tabla3[[#This Row],[Rendimiento]], IF(Tabla3[[#This Row],[LC]]="SI", 0, "No"))</f>
        <v>No</v>
      </c>
      <c r="J202" s="16" t="str">
        <f>IF(Tabla3[[#This Row],[OEE]]="No","",WEEKNUM(Tabla3[[#This Row],[Fecha]]))</f>
        <v/>
      </c>
      <c r="K202" s="27" t="str">
        <f>IFERROR(IF(Tabla3[[#This Row],[OEE]]&lt;&gt;"No",Tabla3[[#This Row],[OEE]]/Tabla3[[#This Row],[Disponibilidad]],""),0)</f>
        <v/>
      </c>
    </row>
    <row r="203" spans="1:11" x14ac:dyDescent="0.25">
      <c r="A203" s="2">
        <v>45884</v>
      </c>
      <c r="B203" s="5">
        <f>SUMIFS('paradas-disp'!F:F,'paradas-disp'!A:A,Tabla3[[#This Row],[Fecha]])</f>
        <v>0</v>
      </c>
      <c r="C203" s="15">
        <f>SUMIFS('paradas-disp'!I:I,'paradas-disp'!A:A,Tabla3[[#This Row],[Fecha]])</f>
        <v>0</v>
      </c>
      <c r="D203" s="15">
        <f>IF(Tabla3[[#This Row],[Fecha]]&lt;53,"",IFERROR(((HOUR(Tabla3[[#This Row],[Horas]])*60+MINUTE(Tabla3[[#This Row],[Horas]]))/60)*$D$1,""))</f>
        <v>0</v>
      </c>
      <c r="E203" s="22" t="str">
        <f>IFERROR(Tabla3[[#This Row],[Cantidad producida]]/Tabla3[[#This Row],[Cantidad teórica]],"")</f>
        <v/>
      </c>
      <c r="F203" s="22">
        <f>IF(Tabla3[[#This Row],[Fecha]]&lt;53,"",IFERROR(Tabla3[[#This Row],[Horas]]/$F$1,""))</f>
        <v>0</v>
      </c>
      <c r="G203" s="15" t="str">
        <f>IF(Tabla3[[#This Row],[Disponibilidad]]="","",IF(Tabla3[[#This Row],[Disponibilidad]]&gt;1,"NO",""))</f>
        <v/>
      </c>
      <c r="H203" t="str">
        <f>IFERROR(IF(VLOOKUP(Tabla3[[#This Row],[Fecha]],Tabla1[[Día]:[P/LC/CF/CL]],5,FALSE)="LC","SI",""),"")</f>
        <v/>
      </c>
      <c r="I203" s="22" t="str">
        <f>IFERROR(Tabla3[[#This Row],[Disponibilidad]]*Tabla3[[#This Row],[Rendimiento]], IF(Tabla3[[#This Row],[LC]]="SI", 0, "No"))</f>
        <v>No</v>
      </c>
      <c r="J203" s="16" t="str">
        <f>IF(Tabla3[[#This Row],[OEE]]="No","",WEEKNUM(Tabla3[[#This Row],[Fecha]]))</f>
        <v/>
      </c>
      <c r="K203" s="27" t="str">
        <f>IFERROR(IF(Tabla3[[#This Row],[OEE]]&lt;&gt;"No",Tabla3[[#This Row],[OEE]]/Tabla3[[#This Row],[Disponibilidad]],""),0)</f>
        <v/>
      </c>
    </row>
    <row r="204" spans="1:11" x14ac:dyDescent="0.25">
      <c r="A204" s="2">
        <v>45885</v>
      </c>
      <c r="B204" s="5">
        <f>SUMIFS('paradas-disp'!F:F,'paradas-disp'!A:A,Tabla3[[#This Row],[Fecha]])</f>
        <v>0</v>
      </c>
      <c r="C204" s="15">
        <f>SUMIFS('paradas-disp'!I:I,'paradas-disp'!A:A,Tabla3[[#This Row],[Fecha]])</f>
        <v>0</v>
      </c>
      <c r="D204" s="15">
        <f>IF(Tabla3[[#This Row],[Fecha]]&lt;53,"",IFERROR(((HOUR(Tabla3[[#This Row],[Horas]])*60+MINUTE(Tabla3[[#This Row],[Horas]]))/60)*$D$1,""))</f>
        <v>0</v>
      </c>
      <c r="E204" s="22" t="str">
        <f>IFERROR(Tabla3[[#This Row],[Cantidad producida]]/Tabla3[[#This Row],[Cantidad teórica]],"")</f>
        <v/>
      </c>
      <c r="F204" s="22">
        <f>IF(Tabla3[[#This Row],[Fecha]]&lt;53,"",IFERROR(Tabla3[[#This Row],[Horas]]/$F$1,""))</f>
        <v>0</v>
      </c>
      <c r="G204" s="15" t="str">
        <f>IF(Tabla3[[#This Row],[Disponibilidad]]="","",IF(Tabla3[[#This Row],[Disponibilidad]]&gt;1,"NO",""))</f>
        <v/>
      </c>
      <c r="H204" t="str">
        <f>IFERROR(IF(VLOOKUP(Tabla3[[#This Row],[Fecha]],Tabla1[[Día]:[P/LC/CF/CL]],5,FALSE)="LC","SI",""),"")</f>
        <v/>
      </c>
      <c r="I204" s="22" t="str">
        <f>IFERROR(Tabla3[[#This Row],[Disponibilidad]]*Tabla3[[#This Row],[Rendimiento]], IF(Tabla3[[#This Row],[LC]]="SI", 0, "No"))</f>
        <v>No</v>
      </c>
      <c r="J204" s="16" t="str">
        <f>IF(Tabla3[[#This Row],[OEE]]="No","",WEEKNUM(Tabla3[[#This Row],[Fecha]]))</f>
        <v/>
      </c>
      <c r="K204" s="27" t="str">
        <f>IFERROR(IF(Tabla3[[#This Row],[OEE]]&lt;&gt;"No",Tabla3[[#This Row],[OEE]]/Tabla3[[#This Row],[Disponibilidad]],""),0)</f>
        <v/>
      </c>
    </row>
    <row r="205" spans="1:11" x14ac:dyDescent="0.25">
      <c r="A205" s="2">
        <v>45886</v>
      </c>
      <c r="B205" s="5">
        <f>SUMIFS('paradas-disp'!F:F,'paradas-disp'!A:A,Tabla3[[#This Row],[Fecha]])</f>
        <v>0</v>
      </c>
      <c r="C205" s="15">
        <f>SUMIFS('paradas-disp'!I:I,'paradas-disp'!A:A,Tabla3[[#This Row],[Fecha]])</f>
        <v>0</v>
      </c>
      <c r="D205" s="15">
        <f>IF(Tabla3[[#This Row],[Fecha]]&lt;53,"",IFERROR(((HOUR(Tabla3[[#This Row],[Horas]])*60+MINUTE(Tabla3[[#This Row],[Horas]]))/60)*$D$1,""))</f>
        <v>0</v>
      </c>
      <c r="E205" s="22" t="str">
        <f>IFERROR(Tabla3[[#This Row],[Cantidad producida]]/Tabla3[[#This Row],[Cantidad teórica]],"")</f>
        <v/>
      </c>
      <c r="F205" s="22">
        <f>IF(Tabla3[[#This Row],[Fecha]]&lt;53,"",IFERROR(Tabla3[[#This Row],[Horas]]/$F$1,""))</f>
        <v>0</v>
      </c>
      <c r="G205" s="15" t="str">
        <f>IF(Tabla3[[#This Row],[Disponibilidad]]="","",IF(Tabla3[[#This Row],[Disponibilidad]]&gt;1,"NO",""))</f>
        <v/>
      </c>
      <c r="H205" t="str">
        <f>IFERROR(IF(VLOOKUP(Tabla3[[#This Row],[Fecha]],Tabla1[[Día]:[P/LC/CF/CL]],5,FALSE)="LC","SI",""),"")</f>
        <v/>
      </c>
      <c r="I205" s="22" t="str">
        <f>IFERROR(Tabla3[[#This Row],[Disponibilidad]]*Tabla3[[#This Row],[Rendimiento]], IF(Tabla3[[#This Row],[LC]]="SI", 0, "No"))</f>
        <v>No</v>
      </c>
      <c r="J205" s="16" t="str">
        <f>IF(Tabla3[[#This Row],[OEE]]="No","",WEEKNUM(Tabla3[[#This Row],[Fecha]]))</f>
        <v/>
      </c>
      <c r="K205" s="27" t="str">
        <f>IFERROR(IF(Tabla3[[#This Row],[OEE]]&lt;&gt;"No",Tabla3[[#This Row],[OEE]]/Tabla3[[#This Row],[Disponibilidad]],""),0)</f>
        <v/>
      </c>
    </row>
    <row r="206" spans="1:11" x14ac:dyDescent="0.25">
      <c r="A206" s="2">
        <v>45887</v>
      </c>
      <c r="B206" s="5">
        <f>SUMIFS('paradas-disp'!F:F,'paradas-disp'!A:A,Tabla3[[#This Row],[Fecha]])</f>
        <v>0</v>
      </c>
      <c r="C206" s="15">
        <f>SUMIFS('paradas-disp'!I:I,'paradas-disp'!A:A,Tabla3[[#This Row],[Fecha]])</f>
        <v>0</v>
      </c>
      <c r="D206" s="15">
        <f>IF(Tabla3[[#This Row],[Fecha]]&lt;53,"",IFERROR(((HOUR(Tabla3[[#This Row],[Horas]])*60+MINUTE(Tabla3[[#This Row],[Horas]]))/60)*$D$1,""))</f>
        <v>0</v>
      </c>
      <c r="E206" s="22" t="str">
        <f>IFERROR(Tabla3[[#This Row],[Cantidad producida]]/Tabla3[[#This Row],[Cantidad teórica]],"")</f>
        <v/>
      </c>
      <c r="F206" s="22">
        <f>IF(Tabla3[[#This Row],[Fecha]]&lt;53,"",IFERROR(Tabla3[[#This Row],[Horas]]/$F$1,""))</f>
        <v>0</v>
      </c>
      <c r="G206" s="15" t="str">
        <f>IF(Tabla3[[#This Row],[Disponibilidad]]="","",IF(Tabla3[[#This Row],[Disponibilidad]]&gt;1,"NO",""))</f>
        <v/>
      </c>
      <c r="H206" t="str">
        <f>IFERROR(IF(VLOOKUP(Tabla3[[#This Row],[Fecha]],Tabla1[[Día]:[P/LC/CF/CL]],5,FALSE)="LC","SI",""),"")</f>
        <v/>
      </c>
      <c r="I206" s="22" t="str">
        <f>IFERROR(Tabla3[[#This Row],[Disponibilidad]]*Tabla3[[#This Row],[Rendimiento]], IF(Tabla3[[#This Row],[LC]]="SI", 0, "No"))</f>
        <v>No</v>
      </c>
      <c r="J206" s="16" t="str">
        <f>IF(Tabla3[[#This Row],[OEE]]="No","",WEEKNUM(Tabla3[[#This Row],[Fecha]]))</f>
        <v/>
      </c>
      <c r="K206" s="27" t="str">
        <f>IFERROR(IF(Tabla3[[#This Row],[OEE]]&lt;&gt;"No",Tabla3[[#This Row],[OEE]]/Tabla3[[#This Row],[Disponibilidad]],""),0)</f>
        <v/>
      </c>
    </row>
    <row r="207" spans="1:11" x14ac:dyDescent="0.25">
      <c r="A207" s="2">
        <v>45888</v>
      </c>
      <c r="B207" s="5">
        <f>SUMIFS('paradas-disp'!F:F,'paradas-disp'!A:A,Tabla3[[#This Row],[Fecha]])</f>
        <v>0</v>
      </c>
      <c r="C207" s="15">
        <f>SUMIFS('paradas-disp'!I:I,'paradas-disp'!A:A,Tabla3[[#This Row],[Fecha]])</f>
        <v>0</v>
      </c>
      <c r="D207" s="15">
        <f>IF(Tabla3[[#This Row],[Fecha]]&lt;53,"",IFERROR(((HOUR(Tabla3[[#This Row],[Horas]])*60+MINUTE(Tabla3[[#This Row],[Horas]]))/60)*$D$1,""))</f>
        <v>0</v>
      </c>
      <c r="E207" s="22" t="str">
        <f>IFERROR(Tabla3[[#This Row],[Cantidad producida]]/Tabla3[[#This Row],[Cantidad teórica]],"")</f>
        <v/>
      </c>
      <c r="F207" s="22">
        <f>IF(Tabla3[[#This Row],[Fecha]]&lt;53,"",IFERROR(Tabla3[[#This Row],[Horas]]/$F$1,""))</f>
        <v>0</v>
      </c>
      <c r="G207" s="15" t="str">
        <f>IF(Tabla3[[#This Row],[Disponibilidad]]="","",IF(Tabla3[[#This Row],[Disponibilidad]]&gt;1,"NO",""))</f>
        <v/>
      </c>
      <c r="H207" t="str">
        <f>IFERROR(IF(VLOOKUP(Tabla3[[#This Row],[Fecha]],Tabla1[[Día]:[P/LC/CF/CL]],5,FALSE)="LC","SI",""),"")</f>
        <v/>
      </c>
      <c r="I207" s="22" t="str">
        <f>IFERROR(Tabla3[[#This Row],[Disponibilidad]]*Tabla3[[#This Row],[Rendimiento]], IF(Tabla3[[#This Row],[LC]]="SI", 0, "No"))</f>
        <v>No</v>
      </c>
      <c r="J207" s="16" t="str">
        <f>IF(Tabla3[[#This Row],[OEE]]="No","",WEEKNUM(Tabla3[[#This Row],[Fecha]]))</f>
        <v/>
      </c>
      <c r="K207" s="27" t="str">
        <f>IFERROR(IF(Tabla3[[#This Row],[OEE]]&lt;&gt;"No",Tabla3[[#This Row],[OEE]]/Tabla3[[#This Row],[Disponibilidad]],""),0)</f>
        <v/>
      </c>
    </row>
    <row r="208" spans="1:11" x14ac:dyDescent="0.25">
      <c r="A208" s="2">
        <v>45889</v>
      </c>
      <c r="B208" s="5">
        <f>SUMIFS('paradas-disp'!F:F,'paradas-disp'!A:A,Tabla3[[#This Row],[Fecha]])</f>
        <v>0</v>
      </c>
      <c r="C208" s="15">
        <f>SUMIFS('paradas-disp'!I:I,'paradas-disp'!A:A,Tabla3[[#This Row],[Fecha]])</f>
        <v>0</v>
      </c>
      <c r="D208" s="15">
        <f>IF(Tabla3[[#This Row],[Fecha]]&lt;53,"",IFERROR(((HOUR(Tabla3[[#This Row],[Horas]])*60+MINUTE(Tabla3[[#This Row],[Horas]]))/60)*$D$1,""))</f>
        <v>0</v>
      </c>
      <c r="E208" s="22" t="str">
        <f>IFERROR(Tabla3[[#This Row],[Cantidad producida]]/Tabla3[[#This Row],[Cantidad teórica]],"")</f>
        <v/>
      </c>
      <c r="F208" s="22">
        <f>IF(Tabla3[[#This Row],[Fecha]]&lt;53,"",IFERROR(Tabla3[[#This Row],[Horas]]/$F$1,""))</f>
        <v>0</v>
      </c>
      <c r="G208" s="15" t="str">
        <f>IF(Tabla3[[#This Row],[Disponibilidad]]="","",IF(Tabla3[[#This Row],[Disponibilidad]]&gt;1,"NO",""))</f>
        <v/>
      </c>
      <c r="H208" t="str">
        <f>IFERROR(IF(VLOOKUP(Tabla3[[#This Row],[Fecha]],Tabla1[[Día]:[P/LC/CF/CL]],5,FALSE)="LC","SI",""),"")</f>
        <v/>
      </c>
      <c r="I208" s="22" t="str">
        <f>IFERROR(Tabla3[[#This Row],[Disponibilidad]]*Tabla3[[#This Row],[Rendimiento]], IF(Tabla3[[#This Row],[LC]]="SI", 0, "No"))</f>
        <v>No</v>
      </c>
      <c r="J208" s="16" t="str">
        <f>IF(Tabla3[[#This Row],[OEE]]="No","",WEEKNUM(Tabla3[[#This Row],[Fecha]]))</f>
        <v/>
      </c>
      <c r="K208" s="27" t="str">
        <f>IFERROR(IF(Tabla3[[#This Row],[OEE]]&lt;&gt;"No",Tabla3[[#This Row],[OEE]]/Tabla3[[#This Row],[Disponibilidad]],""),0)</f>
        <v/>
      </c>
    </row>
    <row r="209" spans="1:11" x14ac:dyDescent="0.25">
      <c r="A209" s="2">
        <v>45890</v>
      </c>
      <c r="B209" s="5">
        <f>SUMIFS('paradas-disp'!F:F,'paradas-disp'!A:A,Tabla3[[#This Row],[Fecha]])</f>
        <v>0</v>
      </c>
      <c r="C209" s="15">
        <f>SUMIFS('paradas-disp'!I:I,'paradas-disp'!A:A,Tabla3[[#This Row],[Fecha]])</f>
        <v>0</v>
      </c>
      <c r="D209" s="15">
        <f>IF(Tabla3[[#This Row],[Fecha]]&lt;53,"",IFERROR(((HOUR(Tabla3[[#This Row],[Horas]])*60+MINUTE(Tabla3[[#This Row],[Horas]]))/60)*$D$1,""))</f>
        <v>0</v>
      </c>
      <c r="E209" s="22" t="str">
        <f>IFERROR(Tabla3[[#This Row],[Cantidad producida]]/Tabla3[[#This Row],[Cantidad teórica]],"")</f>
        <v/>
      </c>
      <c r="F209" s="22">
        <f>IF(Tabla3[[#This Row],[Fecha]]&lt;53,"",IFERROR(Tabla3[[#This Row],[Horas]]/$F$1,""))</f>
        <v>0</v>
      </c>
      <c r="G209" s="15" t="str">
        <f>IF(Tabla3[[#This Row],[Disponibilidad]]="","",IF(Tabla3[[#This Row],[Disponibilidad]]&gt;1,"NO",""))</f>
        <v/>
      </c>
      <c r="H209" t="str">
        <f>IFERROR(IF(VLOOKUP(Tabla3[[#This Row],[Fecha]],Tabla1[[Día]:[P/LC/CF/CL]],5,FALSE)="LC","SI",""),"")</f>
        <v/>
      </c>
      <c r="I209" s="22" t="str">
        <f>IFERROR(Tabla3[[#This Row],[Disponibilidad]]*Tabla3[[#This Row],[Rendimiento]], IF(Tabla3[[#This Row],[LC]]="SI", 0, "No"))</f>
        <v>No</v>
      </c>
      <c r="J209" s="16" t="str">
        <f>IF(Tabla3[[#This Row],[OEE]]="No","",WEEKNUM(Tabla3[[#This Row],[Fecha]]))</f>
        <v/>
      </c>
      <c r="K209" s="27" t="str">
        <f>IFERROR(IF(Tabla3[[#This Row],[OEE]]&lt;&gt;"No",Tabla3[[#This Row],[OEE]]/Tabla3[[#This Row],[Disponibilidad]],""),0)</f>
        <v/>
      </c>
    </row>
    <row r="210" spans="1:11" x14ac:dyDescent="0.25">
      <c r="A210" s="2">
        <v>45891</v>
      </c>
      <c r="B210" s="5">
        <f>SUMIFS('paradas-disp'!F:F,'paradas-disp'!A:A,Tabla3[[#This Row],[Fecha]])</f>
        <v>0</v>
      </c>
      <c r="C210" s="15">
        <f>SUMIFS('paradas-disp'!I:I,'paradas-disp'!A:A,Tabla3[[#This Row],[Fecha]])</f>
        <v>0</v>
      </c>
      <c r="D210" s="15">
        <f>IF(Tabla3[[#This Row],[Fecha]]&lt;53,"",IFERROR(((HOUR(Tabla3[[#This Row],[Horas]])*60+MINUTE(Tabla3[[#This Row],[Horas]]))/60)*$D$1,""))</f>
        <v>0</v>
      </c>
      <c r="E210" s="22" t="str">
        <f>IFERROR(Tabla3[[#This Row],[Cantidad producida]]/Tabla3[[#This Row],[Cantidad teórica]],"")</f>
        <v/>
      </c>
      <c r="F210" s="22">
        <f>IF(Tabla3[[#This Row],[Fecha]]&lt;53,"",IFERROR(Tabla3[[#This Row],[Horas]]/$F$1,""))</f>
        <v>0</v>
      </c>
      <c r="G210" s="15" t="str">
        <f>IF(Tabla3[[#This Row],[Disponibilidad]]="","",IF(Tabla3[[#This Row],[Disponibilidad]]&gt;1,"NO",""))</f>
        <v/>
      </c>
      <c r="H210" t="str">
        <f>IFERROR(IF(VLOOKUP(Tabla3[[#This Row],[Fecha]],Tabla1[[Día]:[P/LC/CF/CL]],5,FALSE)="LC","SI",""),"")</f>
        <v/>
      </c>
      <c r="I210" s="22" t="str">
        <f>IFERROR(Tabla3[[#This Row],[Disponibilidad]]*Tabla3[[#This Row],[Rendimiento]], IF(Tabla3[[#This Row],[LC]]="SI", 0, "No"))</f>
        <v>No</v>
      </c>
      <c r="J210" s="16" t="str">
        <f>IF(Tabla3[[#This Row],[OEE]]="No","",WEEKNUM(Tabla3[[#This Row],[Fecha]]))</f>
        <v/>
      </c>
      <c r="K210" s="27" t="str">
        <f>IFERROR(IF(Tabla3[[#This Row],[OEE]]&lt;&gt;"No",Tabla3[[#This Row],[OEE]]/Tabla3[[#This Row],[Disponibilidad]],""),0)</f>
        <v/>
      </c>
    </row>
    <row r="211" spans="1:11" x14ac:dyDescent="0.25">
      <c r="A211" s="2">
        <v>45892</v>
      </c>
      <c r="B211" s="5">
        <f>SUMIFS('paradas-disp'!F:F,'paradas-disp'!A:A,Tabla3[[#This Row],[Fecha]])</f>
        <v>0</v>
      </c>
      <c r="C211" s="15">
        <f>SUMIFS('paradas-disp'!I:I,'paradas-disp'!A:A,Tabla3[[#This Row],[Fecha]])</f>
        <v>0</v>
      </c>
      <c r="D211" s="15">
        <f>IF(Tabla3[[#This Row],[Fecha]]&lt;53,"",IFERROR(((HOUR(Tabla3[[#This Row],[Horas]])*60+MINUTE(Tabla3[[#This Row],[Horas]]))/60)*$D$1,""))</f>
        <v>0</v>
      </c>
      <c r="E211" s="22" t="str">
        <f>IFERROR(Tabla3[[#This Row],[Cantidad producida]]/Tabla3[[#This Row],[Cantidad teórica]],"")</f>
        <v/>
      </c>
      <c r="F211" s="22">
        <f>IF(Tabla3[[#This Row],[Fecha]]&lt;53,"",IFERROR(Tabla3[[#This Row],[Horas]]/$F$1,""))</f>
        <v>0</v>
      </c>
      <c r="G211" s="15" t="str">
        <f>IF(Tabla3[[#This Row],[Disponibilidad]]="","",IF(Tabla3[[#This Row],[Disponibilidad]]&gt;1,"NO",""))</f>
        <v/>
      </c>
      <c r="H211" t="str">
        <f>IFERROR(IF(VLOOKUP(Tabla3[[#This Row],[Fecha]],Tabla1[[Día]:[P/LC/CF/CL]],5,FALSE)="LC","SI",""),"")</f>
        <v/>
      </c>
      <c r="I211" s="22" t="str">
        <f>IFERROR(Tabla3[[#This Row],[Disponibilidad]]*Tabla3[[#This Row],[Rendimiento]], IF(Tabla3[[#This Row],[LC]]="SI", 0, "No"))</f>
        <v>No</v>
      </c>
      <c r="J211" s="16" t="str">
        <f>IF(Tabla3[[#This Row],[OEE]]="No","",WEEKNUM(Tabla3[[#This Row],[Fecha]]))</f>
        <v/>
      </c>
      <c r="K211" s="27" t="str">
        <f>IFERROR(IF(Tabla3[[#This Row],[OEE]]&lt;&gt;"No",Tabla3[[#This Row],[OEE]]/Tabla3[[#This Row],[Disponibilidad]],""),0)</f>
        <v/>
      </c>
    </row>
    <row r="212" spans="1:11" x14ac:dyDescent="0.25">
      <c r="A212" s="2">
        <v>45893</v>
      </c>
      <c r="B212" s="5">
        <f>SUMIFS('paradas-disp'!F:F,'paradas-disp'!A:A,Tabla3[[#This Row],[Fecha]])</f>
        <v>0</v>
      </c>
      <c r="C212" s="15">
        <f>SUMIFS('paradas-disp'!I:I,'paradas-disp'!A:A,Tabla3[[#This Row],[Fecha]])</f>
        <v>0</v>
      </c>
      <c r="D212" s="15">
        <f>IF(Tabla3[[#This Row],[Fecha]]&lt;53,"",IFERROR(((HOUR(Tabla3[[#This Row],[Horas]])*60+MINUTE(Tabla3[[#This Row],[Horas]]))/60)*$D$1,""))</f>
        <v>0</v>
      </c>
      <c r="E212" s="22" t="str">
        <f>IFERROR(Tabla3[[#This Row],[Cantidad producida]]/Tabla3[[#This Row],[Cantidad teórica]],"")</f>
        <v/>
      </c>
      <c r="F212" s="22">
        <f>IF(Tabla3[[#This Row],[Fecha]]&lt;53,"",IFERROR(Tabla3[[#This Row],[Horas]]/$F$1,""))</f>
        <v>0</v>
      </c>
      <c r="G212" s="15" t="str">
        <f>IF(Tabla3[[#This Row],[Disponibilidad]]="","",IF(Tabla3[[#This Row],[Disponibilidad]]&gt;1,"NO",""))</f>
        <v/>
      </c>
      <c r="H212" t="str">
        <f>IFERROR(IF(VLOOKUP(Tabla3[[#This Row],[Fecha]],Tabla1[[Día]:[P/LC/CF/CL]],5,FALSE)="LC","SI",""),"")</f>
        <v/>
      </c>
      <c r="I212" s="22" t="str">
        <f>IFERROR(Tabla3[[#This Row],[Disponibilidad]]*Tabla3[[#This Row],[Rendimiento]], IF(Tabla3[[#This Row],[LC]]="SI", 0, "No"))</f>
        <v>No</v>
      </c>
      <c r="J212" s="16" t="str">
        <f>IF(Tabla3[[#This Row],[OEE]]="No","",WEEKNUM(Tabla3[[#This Row],[Fecha]]))</f>
        <v/>
      </c>
      <c r="K212" s="27" t="str">
        <f>IFERROR(IF(Tabla3[[#This Row],[OEE]]&lt;&gt;"No",Tabla3[[#This Row],[OEE]]/Tabla3[[#This Row],[Disponibilidad]],""),0)</f>
        <v/>
      </c>
    </row>
    <row r="213" spans="1:11" x14ac:dyDescent="0.25">
      <c r="A213" s="2">
        <v>45894</v>
      </c>
      <c r="B213" s="5">
        <f>SUMIFS('paradas-disp'!F:F,'paradas-disp'!A:A,Tabla3[[#This Row],[Fecha]])</f>
        <v>0</v>
      </c>
      <c r="C213" s="15">
        <f>SUMIFS('paradas-disp'!I:I,'paradas-disp'!A:A,Tabla3[[#This Row],[Fecha]])</f>
        <v>0</v>
      </c>
      <c r="D213" s="15">
        <f>IF(Tabla3[[#This Row],[Fecha]]&lt;53,"",IFERROR(((HOUR(Tabla3[[#This Row],[Horas]])*60+MINUTE(Tabla3[[#This Row],[Horas]]))/60)*$D$1,""))</f>
        <v>0</v>
      </c>
      <c r="E213" s="22" t="str">
        <f>IFERROR(Tabla3[[#This Row],[Cantidad producida]]/Tabla3[[#This Row],[Cantidad teórica]],"")</f>
        <v/>
      </c>
      <c r="F213" s="22">
        <f>IF(Tabla3[[#This Row],[Fecha]]&lt;53,"",IFERROR(Tabla3[[#This Row],[Horas]]/$F$1,""))</f>
        <v>0</v>
      </c>
      <c r="G213" s="15" t="str">
        <f>IF(Tabla3[[#This Row],[Disponibilidad]]="","",IF(Tabla3[[#This Row],[Disponibilidad]]&gt;1,"NO",""))</f>
        <v/>
      </c>
      <c r="H213" t="str">
        <f>IFERROR(IF(VLOOKUP(Tabla3[[#This Row],[Fecha]],Tabla1[[Día]:[P/LC/CF/CL]],5,FALSE)="LC","SI",""),"")</f>
        <v/>
      </c>
      <c r="I213" s="22" t="str">
        <f>IFERROR(Tabla3[[#This Row],[Disponibilidad]]*Tabla3[[#This Row],[Rendimiento]], IF(Tabla3[[#This Row],[LC]]="SI", 0, "No"))</f>
        <v>No</v>
      </c>
      <c r="J213" s="16" t="str">
        <f>IF(Tabla3[[#This Row],[OEE]]="No","",WEEKNUM(Tabla3[[#This Row],[Fecha]]))</f>
        <v/>
      </c>
      <c r="K213" s="27" t="str">
        <f>IFERROR(IF(Tabla3[[#This Row],[OEE]]&lt;&gt;"No",Tabla3[[#This Row],[OEE]]/Tabla3[[#This Row],[Disponibilidad]],""),0)</f>
        <v/>
      </c>
    </row>
    <row r="214" spans="1:11" x14ac:dyDescent="0.25">
      <c r="A214" s="2">
        <v>45895</v>
      </c>
      <c r="B214" s="5">
        <f>SUMIFS('paradas-disp'!F:F,'paradas-disp'!A:A,Tabla3[[#This Row],[Fecha]])</f>
        <v>0</v>
      </c>
      <c r="C214" s="15">
        <f>SUMIFS('paradas-disp'!I:I,'paradas-disp'!A:A,Tabla3[[#This Row],[Fecha]])</f>
        <v>0</v>
      </c>
      <c r="D214" s="15">
        <f>IF(Tabla3[[#This Row],[Fecha]]&lt;53,"",IFERROR(((HOUR(Tabla3[[#This Row],[Horas]])*60+MINUTE(Tabla3[[#This Row],[Horas]]))/60)*$D$1,""))</f>
        <v>0</v>
      </c>
      <c r="E214" s="22" t="str">
        <f>IFERROR(Tabla3[[#This Row],[Cantidad producida]]/Tabla3[[#This Row],[Cantidad teórica]],"")</f>
        <v/>
      </c>
      <c r="F214" s="22">
        <f>IF(Tabla3[[#This Row],[Fecha]]&lt;53,"",IFERROR(Tabla3[[#This Row],[Horas]]/$F$1,""))</f>
        <v>0</v>
      </c>
      <c r="G214" s="15" t="str">
        <f>IF(Tabla3[[#This Row],[Disponibilidad]]="","",IF(Tabla3[[#This Row],[Disponibilidad]]&gt;1,"NO",""))</f>
        <v/>
      </c>
      <c r="H214" t="str">
        <f>IFERROR(IF(VLOOKUP(Tabla3[[#This Row],[Fecha]],Tabla1[[Día]:[P/LC/CF/CL]],5,FALSE)="LC","SI",""),"")</f>
        <v/>
      </c>
      <c r="I214" s="22" t="str">
        <f>IFERROR(Tabla3[[#This Row],[Disponibilidad]]*Tabla3[[#This Row],[Rendimiento]], IF(Tabla3[[#This Row],[LC]]="SI", 0, "No"))</f>
        <v>No</v>
      </c>
      <c r="J214" s="16" t="str">
        <f>IF(Tabla3[[#This Row],[OEE]]="No","",WEEKNUM(Tabla3[[#This Row],[Fecha]]))</f>
        <v/>
      </c>
      <c r="K214" s="27" t="str">
        <f>IFERROR(IF(Tabla3[[#This Row],[OEE]]&lt;&gt;"No",Tabla3[[#This Row],[OEE]]/Tabla3[[#This Row],[Disponibilidad]],""),0)</f>
        <v/>
      </c>
    </row>
    <row r="215" spans="1:11" x14ac:dyDescent="0.25">
      <c r="A215" s="2">
        <v>45896</v>
      </c>
      <c r="B215" s="5">
        <f>SUMIFS('paradas-disp'!F:F,'paradas-disp'!A:A,Tabla3[[#This Row],[Fecha]])</f>
        <v>0</v>
      </c>
      <c r="C215" s="15">
        <f>SUMIFS('paradas-disp'!I:I,'paradas-disp'!A:A,Tabla3[[#This Row],[Fecha]])</f>
        <v>0</v>
      </c>
      <c r="D215" s="15">
        <f>IF(Tabla3[[#This Row],[Fecha]]&lt;53,"",IFERROR(((HOUR(Tabla3[[#This Row],[Horas]])*60+MINUTE(Tabla3[[#This Row],[Horas]]))/60)*$D$1,""))</f>
        <v>0</v>
      </c>
      <c r="E215" s="22" t="str">
        <f>IFERROR(Tabla3[[#This Row],[Cantidad producida]]/Tabla3[[#This Row],[Cantidad teórica]],"")</f>
        <v/>
      </c>
      <c r="F215" s="22">
        <f>IF(Tabla3[[#This Row],[Fecha]]&lt;53,"",IFERROR(Tabla3[[#This Row],[Horas]]/$F$1,""))</f>
        <v>0</v>
      </c>
      <c r="G215" s="15" t="str">
        <f>IF(Tabla3[[#This Row],[Disponibilidad]]="","",IF(Tabla3[[#This Row],[Disponibilidad]]&gt;1,"NO",""))</f>
        <v/>
      </c>
      <c r="H215" t="str">
        <f>IFERROR(IF(VLOOKUP(Tabla3[[#This Row],[Fecha]],Tabla1[[Día]:[P/LC/CF/CL]],5,FALSE)="LC","SI",""),"")</f>
        <v/>
      </c>
      <c r="I215" s="22" t="str">
        <f>IFERROR(Tabla3[[#This Row],[Disponibilidad]]*Tabla3[[#This Row],[Rendimiento]], IF(Tabla3[[#This Row],[LC]]="SI", 0, "No"))</f>
        <v>No</v>
      </c>
      <c r="J215" s="16" t="str">
        <f>IF(Tabla3[[#This Row],[OEE]]="No","",WEEKNUM(Tabla3[[#This Row],[Fecha]]))</f>
        <v/>
      </c>
      <c r="K215" s="27" t="str">
        <f>IFERROR(IF(Tabla3[[#This Row],[OEE]]&lt;&gt;"No",Tabla3[[#This Row],[OEE]]/Tabla3[[#This Row],[Disponibilidad]],""),0)</f>
        <v/>
      </c>
    </row>
    <row r="216" spans="1:11" x14ac:dyDescent="0.25">
      <c r="A216" s="2">
        <v>45897</v>
      </c>
      <c r="B216" s="5">
        <f>SUMIFS('paradas-disp'!F:F,'paradas-disp'!A:A,Tabla3[[#This Row],[Fecha]])</f>
        <v>0</v>
      </c>
      <c r="C216" s="15">
        <f>SUMIFS('paradas-disp'!I:I,'paradas-disp'!A:A,Tabla3[[#This Row],[Fecha]])</f>
        <v>0</v>
      </c>
      <c r="D216" s="15">
        <f>IF(Tabla3[[#This Row],[Fecha]]&lt;53,"",IFERROR(((HOUR(Tabla3[[#This Row],[Horas]])*60+MINUTE(Tabla3[[#This Row],[Horas]]))/60)*$D$1,""))</f>
        <v>0</v>
      </c>
      <c r="E216" s="22" t="str">
        <f>IFERROR(Tabla3[[#This Row],[Cantidad producida]]/Tabla3[[#This Row],[Cantidad teórica]],"")</f>
        <v/>
      </c>
      <c r="F216" s="22">
        <f>IF(Tabla3[[#This Row],[Fecha]]&lt;53,"",IFERROR(Tabla3[[#This Row],[Horas]]/$F$1,""))</f>
        <v>0</v>
      </c>
      <c r="G216" s="15" t="str">
        <f>IF(Tabla3[[#This Row],[Disponibilidad]]="","",IF(Tabla3[[#This Row],[Disponibilidad]]&gt;1,"NO",""))</f>
        <v/>
      </c>
      <c r="H216" t="str">
        <f>IFERROR(IF(VLOOKUP(Tabla3[[#This Row],[Fecha]],Tabla1[[Día]:[P/LC/CF/CL]],5,FALSE)="LC","SI",""),"")</f>
        <v/>
      </c>
      <c r="I216" s="22" t="str">
        <f>IFERROR(Tabla3[[#This Row],[Disponibilidad]]*Tabla3[[#This Row],[Rendimiento]], IF(Tabla3[[#This Row],[LC]]="SI", 0, "No"))</f>
        <v>No</v>
      </c>
      <c r="J216" s="16" t="str">
        <f>IF(Tabla3[[#This Row],[OEE]]="No","",WEEKNUM(Tabla3[[#This Row],[Fecha]]))</f>
        <v/>
      </c>
      <c r="K216" s="27" t="str">
        <f>IFERROR(IF(Tabla3[[#This Row],[OEE]]&lt;&gt;"No",Tabla3[[#This Row],[OEE]]/Tabla3[[#This Row],[Disponibilidad]],""),0)</f>
        <v/>
      </c>
    </row>
    <row r="217" spans="1:11" x14ac:dyDescent="0.25">
      <c r="A217" s="2">
        <v>45898</v>
      </c>
      <c r="B217" s="5">
        <f>SUMIFS('paradas-disp'!F:F,'paradas-disp'!A:A,Tabla3[[#This Row],[Fecha]])</f>
        <v>0</v>
      </c>
      <c r="C217" s="15">
        <f>SUMIFS('paradas-disp'!I:I,'paradas-disp'!A:A,Tabla3[[#This Row],[Fecha]])</f>
        <v>0</v>
      </c>
      <c r="D217" s="15">
        <f>IF(Tabla3[[#This Row],[Fecha]]&lt;53,"",IFERROR(((HOUR(Tabla3[[#This Row],[Horas]])*60+MINUTE(Tabla3[[#This Row],[Horas]]))/60)*$D$1,""))</f>
        <v>0</v>
      </c>
      <c r="E217" s="22" t="str">
        <f>IFERROR(Tabla3[[#This Row],[Cantidad producida]]/Tabla3[[#This Row],[Cantidad teórica]],"")</f>
        <v/>
      </c>
      <c r="F217" s="22">
        <f>IF(Tabla3[[#This Row],[Fecha]]&lt;53,"",IFERROR(Tabla3[[#This Row],[Horas]]/$F$1,""))</f>
        <v>0</v>
      </c>
      <c r="G217" s="15" t="str">
        <f>IF(Tabla3[[#This Row],[Disponibilidad]]="","",IF(Tabla3[[#This Row],[Disponibilidad]]&gt;1,"NO",""))</f>
        <v/>
      </c>
      <c r="H217" t="str">
        <f>IFERROR(IF(VLOOKUP(Tabla3[[#This Row],[Fecha]],Tabla1[[Día]:[P/LC/CF/CL]],5,FALSE)="LC","SI",""),"")</f>
        <v/>
      </c>
      <c r="I217" s="22" t="str">
        <f>IFERROR(Tabla3[[#This Row],[Disponibilidad]]*Tabla3[[#This Row],[Rendimiento]], IF(Tabla3[[#This Row],[LC]]="SI", 0, "No"))</f>
        <v>No</v>
      </c>
      <c r="J217" s="16" t="str">
        <f>IF(Tabla3[[#This Row],[OEE]]="No","",WEEKNUM(Tabla3[[#This Row],[Fecha]]))</f>
        <v/>
      </c>
      <c r="K217" s="27" t="str">
        <f>IFERROR(IF(Tabla3[[#This Row],[OEE]]&lt;&gt;"No",Tabla3[[#This Row],[OEE]]/Tabla3[[#This Row],[Disponibilidad]],""),0)</f>
        <v/>
      </c>
    </row>
    <row r="218" spans="1:11" x14ac:dyDescent="0.25">
      <c r="A218" s="2">
        <v>45899</v>
      </c>
      <c r="B218" s="5">
        <f>SUMIFS('paradas-disp'!F:F,'paradas-disp'!A:A,Tabla3[[#This Row],[Fecha]])</f>
        <v>0</v>
      </c>
      <c r="C218" s="15">
        <f>SUMIFS('paradas-disp'!I:I,'paradas-disp'!A:A,Tabla3[[#This Row],[Fecha]])</f>
        <v>0</v>
      </c>
      <c r="D218" s="15">
        <f>IF(Tabla3[[#This Row],[Fecha]]&lt;53,"",IFERROR(((HOUR(Tabla3[[#This Row],[Horas]])*60+MINUTE(Tabla3[[#This Row],[Horas]]))/60)*$D$1,""))</f>
        <v>0</v>
      </c>
      <c r="E218" s="22" t="str">
        <f>IFERROR(Tabla3[[#This Row],[Cantidad producida]]/Tabla3[[#This Row],[Cantidad teórica]],"")</f>
        <v/>
      </c>
      <c r="F218" s="22">
        <f>IF(Tabla3[[#This Row],[Fecha]]&lt;53,"",IFERROR(Tabla3[[#This Row],[Horas]]/$F$1,""))</f>
        <v>0</v>
      </c>
      <c r="G218" s="15" t="str">
        <f>IF(Tabla3[[#This Row],[Disponibilidad]]="","",IF(Tabla3[[#This Row],[Disponibilidad]]&gt;1,"NO",""))</f>
        <v/>
      </c>
      <c r="H218" t="str">
        <f>IFERROR(IF(VLOOKUP(Tabla3[[#This Row],[Fecha]],Tabla1[[Día]:[P/LC/CF/CL]],5,FALSE)="LC","SI",""),"")</f>
        <v/>
      </c>
      <c r="I218" s="22" t="str">
        <f>IFERROR(Tabla3[[#This Row],[Disponibilidad]]*Tabla3[[#This Row],[Rendimiento]], IF(Tabla3[[#This Row],[LC]]="SI", 0, "No"))</f>
        <v>No</v>
      </c>
      <c r="J218" s="16" t="str">
        <f>IF(Tabla3[[#This Row],[OEE]]="No","",WEEKNUM(Tabla3[[#This Row],[Fecha]]))</f>
        <v/>
      </c>
      <c r="K218" s="27" t="str">
        <f>IFERROR(IF(Tabla3[[#This Row],[OEE]]&lt;&gt;"No",Tabla3[[#This Row],[OEE]]/Tabla3[[#This Row],[Disponibilidad]],""),0)</f>
        <v/>
      </c>
    </row>
    <row r="219" spans="1:11" x14ac:dyDescent="0.25">
      <c r="A219" s="2">
        <v>45900</v>
      </c>
      <c r="B219" s="5">
        <f>SUMIFS('paradas-disp'!F:F,'paradas-disp'!A:A,Tabla3[[#This Row],[Fecha]])</f>
        <v>0</v>
      </c>
      <c r="C219" s="15">
        <f>SUMIFS('paradas-disp'!I:I,'paradas-disp'!A:A,Tabla3[[#This Row],[Fecha]])</f>
        <v>0</v>
      </c>
      <c r="D219" s="15">
        <f>IF(Tabla3[[#This Row],[Fecha]]&lt;53,"",IFERROR(((HOUR(Tabla3[[#This Row],[Horas]])*60+MINUTE(Tabla3[[#This Row],[Horas]]))/60)*$D$1,""))</f>
        <v>0</v>
      </c>
      <c r="E219" s="22" t="str">
        <f>IFERROR(Tabla3[[#This Row],[Cantidad producida]]/Tabla3[[#This Row],[Cantidad teórica]],"")</f>
        <v/>
      </c>
      <c r="F219" s="22">
        <f>IF(Tabla3[[#This Row],[Fecha]]&lt;53,"",IFERROR(Tabla3[[#This Row],[Horas]]/$F$1,""))</f>
        <v>0</v>
      </c>
      <c r="G219" s="15" t="str">
        <f>IF(Tabla3[[#This Row],[Disponibilidad]]="","",IF(Tabla3[[#This Row],[Disponibilidad]]&gt;1,"NO",""))</f>
        <v/>
      </c>
      <c r="H219" t="str">
        <f>IFERROR(IF(VLOOKUP(Tabla3[[#This Row],[Fecha]],Tabla1[[Día]:[P/LC/CF/CL]],5,FALSE)="LC","SI",""),"")</f>
        <v/>
      </c>
      <c r="I219" s="22" t="str">
        <f>IFERROR(Tabla3[[#This Row],[Disponibilidad]]*Tabla3[[#This Row],[Rendimiento]], IF(Tabla3[[#This Row],[LC]]="SI", 0, "No"))</f>
        <v>No</v>
      </c>
      <c r="J219" s="16" t="str">
        <f>IF(Tabla3[[#This Row],[OEE]]="No","",WEEKNUM(Tabla3[[#This Row],[Fecha]]))</f>
        <v/>
      </c>
      <c r="K219" s="27" t="str">
        <f>IFERROR(IF(Tabla3[[#This Row],[OEE]]&lt;&gt;"No",Tabla3[[#This Row],[OEE]]/Tabla3[[#This Row],[Disponibilidad]],""),0)</f>
        <v/>
      </c>
    </row>
    <row r="220" spans="1:11" x14ac:dyDescent="0.25">
      <c r="A220" s="2">
        <v>45901</v>
      </c>
      <c r="B220" s="5">
        <f>SUMIFS('paradas-disp'!F:F,'paradas-disp'!A:A,Tabla3[[#This Row],[Fecha]])</f>
        <v>0</v>
      </c>
      <c r="C220" s="15">
        <f>SUMIFS('paradas-disp'!I:I,'paradas-disp'!A:A,Tabla3[[#This Row],[Fecha]])</f>
        <v>0</v>
      </c>
      <c r="D220" s="15">
        <f>IF(Tabla3[[#This Row],[Fecha]]&lt;53,"",IFERROR(((HOUR(Tabla3[[#This Row],[Horas]])*60+MINUTE(Tabla3[[#This Row],[Horas]]))/60)*$D$1,""))</f>
        <v>0</v>
      </c>
      <c r="E220" s="22" t="str">
        <f>IFERROR(Tabla3[[#This Row],[Cantidad producida]]/Tabla3[[#This Row],[Cantidad teórica]],"")</f>
        <v/>
      </c>
      <c r="F220" s="22">
        <f>IF(Tabla3[[#This Row],[Fecha]]&lt;53,"",IFERROR(Tabla3[[#This Row],[Horas]]/$F$1,""))</f>
        <v>0</v>
      </c>
      <c r="G220" s="15" t="str">
        <f>IF(Tabla3[[#This Row],[Disponibilidad]]="","",IF(Tabla3[[#This Row],[Disponibilidad]]&gt;1,"NO",""))</f>
        <v/>
      </c>
      <c r="H220" t="str">
        <f>IFERROR(IF(VLOOKUP(Tabla3[[#This Row],[Fecha]],Tabla1[[Día]:[P/LC/CF/CL]],5,FALSE)="LC","SI",""),"")</f>
        <v/>
      </c>
      <c r="I220" s="22" t="str">
        <f>IFERROR(Tabla3[[#This Row],[Disponibilidad]]*Tabla3[[#This Row],[Rendimiento]], IF(Tabla3[[#This Row],[LC]]="SI", 0, "No"))</f>
        <v>No</v>
      </c>
      <c r="J220" s="16" t="str">
        <f>IF(Tabla3[[#This Row],[OEE]]="No","",WEEKNUM(Tabla3[[#This Row],[Fecha]]))</f>
        <v/>
      </c>
      <c r="K220" s="27" t="str">
        <f>IFERROR(IF(Tabla3[[#This Row],[OEE]]&lt;&gt;"No",Tabla3[[#This Row],[OEE]]/Tabla3[[#This Row],[Disponibilidad]],""),0)</f>
        <v/>
      </c>
    </row>
    <row r="221" spans="1:11" x14ac:dyDescent="0.25">
      <c r="A221" s="2">
        <v>45902</v>
      </c>
      <c r="B221" s="5">
        <f>SUMIFS('paradas-disp'!F:F,'paradas-disp'!A:A,Tabla3[[#This Row],[Fecha]])</f>
        <v>0</v>
      </c>
      <c r="C221" s="15">
        <f>SUMIFS('paradas-disp'!I:I,'paradas-disp'!A:A,Tabla3[[#This Row],[Fecha]])</f>
        <v>0</v>
      </c>
      <c r="D221" s="15">
        <f>IF(Tabla3[[#This Row],[Fecha]]&lt;53,"",IFERROR(((HOUR(Tabla3[[#This Row],[Horas]])*60+MINUTE(Tabla3[[#This Row],[Horas]]))/60)*$D$1,""))</f>
        <v>0</v>
      </c>
      <c r="E221" s="22" t="str">
        <f>IFERROR(Tabla3[[#This Row],[Cantidad producida]]/Tabla3[[#This Row],[Cantidad teórica]],"")</f>
        <v/>
      </c>
      <c r="F221" s="22">
        <f>IF(Tabla3[[#This Row],[Fecha]]&lt;53,"",IFERROR(Tabla3[[#This Row],[Horas]]/$F$1,""))</f>
        <v>0</v>
      </c>
      <c r="G221" s="15" t="str">
        <f>IF(Tabla3[[#This Row],[Disponibilidad]]="","",IF(Tabla3[[#This Row],[Disponibilidad]]&gt;1,"NO",""))</f>
        <v/>
      </c>
      <c r="H221" t="str">
        <f>IFERROR(IF(VLOOKUP(Tabla3[[#This Row],[Fecha]],Tabla1[[Día]:[P/LC/CF/CL]],5,FALSE)="LC","SI",""),"")</f>
        <v/>
      </c>
      <c r="I221" s="22" t="str">
        <f>IFERROR(Tabla3[[#This Row],[Disponibilidad]]*Tabla3[[#This Row],[Rendimiento]], IF(Tabla3[[#This Row],[LC]]="SI", 0, "No"))</f>
        <v>No</v>
      </c>
      <c r="J221" s="16" t="str">
        <f>IF(Tabla3[[#This Row],[OEE]]="No","",WEEKNUM(Tabla3[[#This Row],[Fecha]]))</f>
        <v/>
      </c>
      <c r="K221" s="27" t="str">
        <f>IFERROR(IF(Tabla3[[#This Row],[OEE]]&lt;&gt;"No",Tabla3[[#This Row],[OEE]]/Tabla3[[#This Row],[Disponibilidad]],""),0)</f>
        <v/>
      </c>
    </row>
    <row r="222" spans="1:11" x14ac:dyDescent="0.25">
      <c r="A222" s="2">
        <v>45903</v>
      </c>
      <c r="B222" s="5">
        <f>SUMIFS('paradas-disp'!F:F,'paradas-disp'!A:A,Tabla3[[#This Row],[Fecha]])</f>
        <v>0</v>
      </c>
      <c r="C222" s="15">
        <f>SUMIFS('paradas-disp'!I:I,'paradas-disp'!A:A,Tabla3[[#This Row],[Fecha]])</f>
        <v>0</v>
      </c>
      <c r="D222" s="15">
        <f>IF(Tabla3[[#This Row],[Fecha]]&lt;53,"",IFERROR(((HOUR(Tabla3[[#This Row],[Horas]])*60+MINUTE(Tabla3[[#This Row],[Horas]]))/60)*$D$1,""))</f>
        <v>0</v>
      </c>
      <c r="E222" s="22" t="str">
        <f>IFERROR(Tabla3[[#This Row],[Cantidad producida]]/Tabla3[[#This Row],[Cantidad teórica]],"")</f>
        <v/>
      </c>
      <c r="F222" s="22">
        <f>IF(Tabla3[[#This Row],[Fecha]]&lt;53,"",IFERROR(Tabla3[[#This Row],[Horas]]/$F$1,""))</f>
        <v>0</v>
      </c>
      <c r="G222" s="15" t="str">
        <f>IF(Tabla3[[#This Row],[Disponibilidad]]="","",IF(Tabla3[[#This Row],[Disponibilidad]]&gt;1,"NO",""))</f>
        <v/>
      </c>
      <c r="H222" t="str">
        <f>IFERROR(IF(VLOOKUP(Tabla3[[#This Row],[Fecha]],Tabla1[[Día]:[P/LC/CF/CL]],5,FALSE)="LC","SI",""),"")</f>
        <v/>
      </c>
      <c r="I222" s="22" t="str">
        <f>IFERROR(Tabla3[[#This Row],[Disponibilidad]]*Tabla3[[#This Row],[Rendimiento]], IF(Tabla3[[#This Row],[LC]]="SI", 0, "No"))</f>
        <v>No</v>
      </c>
      <c r="J222" s="16" t="str">
        <f>IF(Tabla3[[#This Row],[OEE]]="No","",WEEKNUM(Tabla3[[#This Row],[Fecha]]))</f>
        <v/>
      </c>
      <c r="K222" s="27" t="str">
        <f>IFERROR(IF(Tabla3[[#This Row],[OEE]]&lt;&gt;"No",Tabla3[[#This Row],[OEE]]/Tabla3[[#This Row],[Disponibilidad]],""),0)</f>
        <v/>
      </c>
    </row>
    <row r="223" spans="1:11" x14ac:dyDescent="0.25">
      <c r="A223" s="2">
        <v>45904</v>
      </c>
      <c r="B223" s="5">
        <f>SUMIFS('paradas-disp'!F:F,'paradas-disp'!A:A,Tabla3[[#This Row],[Fecha]])</f>
        <v>0</v>
      </c>
      <c r="C223" s="15">
        <f>SUMIFS('paradas-disp'!I:I,'paradas-disp'!A:A,Tabla3[[#This Row],[Fecha]])</f>
        <v>0</v>
      </c>
      <c r="D223" s="15">
        <f>IF(Tabla3[[#This Row],[Fecha]]&lt;53,"",IFERROR(((HOUR(Tabla3[[#This Row],[Horas]])*60+MINUTE(Tabla3[[#This Row],[Horas]]))/60)*$D$1,""))</f>
        <v>0</v>
      </c>
      <c r="E223" s="22" t="str">
        <f>IFERROR(Tabla3[[#This Row],[Cantidad producida]]/Tabla3[[#This Row],[Cantidad teórica]],"")</f>
        <v/>
      </c>
      <c r="F223" s="22">
        <f>IF(Tabla3[[#This Row],[Fecha]]&lt;53,"",IFERROR(Tabla3[[#This Row],[Horas]]/$F$1,""))</f>
        <v>0</v>
      </c>
      <c r="G223" s="15" t="str">
        <f>IF(Tabla3[[#This Row],[Disponibilidad]]="","",IF(Tabla3[[#This Row],[Disponibilidad]]&gt;1,"NO",""))</f>
        <v/>
      </c>
      <c r="H223" t="str">
        <f>IFERROR(IF(VLOOKUP(Tabla3[[#This Row],[Fecha]],Tabla1[[Día]:[P/LC/CF/CL]],5,FALSE)="LC","SI",""),"")</f>
        <v/>
      </c>
      <c r="I223" s="22" t="str">
        <f>IFERROR(Tabla3[[#This Row],[Disponibilidad]]*Tabla3[[#This Row],[Rendimiento]], IF(Tabla3[[#This Row],[LC]]="SI", 0, "No"))</f>
        <v>No</v>
      </c>
      <c r="J223" s="16" t="str">
        <f>IF(Tabla3[[#This Row],[OEE]]="No","",WEEKNUM(Tabla3[[#This Row],[Fecha]]))</f>
        <v/>
      </c>
      <c r="K223" s="27" t="str">
        <f>IFERROR(IF(Tabla3[[#This Row],[OEE]]&lt;&gt;"No",Tabla3[[#This Row],[OEE]]/Tabla3[[#This Row],[Disponibilidad]],""),0)</f>
        <v/>
      </c>
    </row>
    <row r="224" spans="1:11" x14ac:dyDescent="0.25">
      <c r="A224" s="2">
        <v>45905</v>
      </c>
      <c r="B224" s="5">
        <f>SUMIFS('paradas-disp'!F:F,'paradas-disp'!A:A,Tabla3[[#This Row],[Fecha]])</f>
        <v>0</v>
      </c>
      <c r="C224" s="15">
        <f>SUMIFS('paradas-disp'!I:I,'paradas-disp'!A:A,Tabla3[[#This Row],[Fecha]])</f>
        <v>0</v>
      </c>
      <c r="D224" s="15">
        <f>IF(Tabla3[[#This Row],[Fecha]]&lt;53,"",IFERROR(((HOUR(Tabla3[[#This Row],[Horas]])*60+MINUTE(Tabla3[[#This Row],[Horas]]))/60)*$D$1,""))</f>
        <v>0</v>
      </c>
      <c r="E224" s="22" t="str">
        <f>IFERROR(Tabla3[[#This Row],[Cantidad producida]]/Tabla3[[#This Row],[Cantidad teórica]],"")</f>
        <v/>
      </c>
      <c r="F224" s="22">
        <f>IF(Tabla3[[#This Row],[Fecha]]&lt;53,"",IFERROR(Tabla3[[#This Row],[Horas]]/$F$1,""))</f>
        <v>0</v>
      </c>
      <c r="G224" s="15" t="str">
        <f>IF(Tabla3[[#This Row],[Disponibilidad]]="","",IF(Tabla3[[#This Row],[Disponibilidad]]&gt;1,"NO",""))</f>
        <v/>
      </c>
      <c r="H224" t="str">
        <f>IFERROR(IF(VLOOKUP(Tabla3[[#This Row],[Fecha]],Tabla1[[Día]:[P/LC/CF/CL]],5,FALSE)="LC","SI",""),"")</f>
        <v/>
      </c>
      <c r="I224" s="22" t="str">
        <f>IFERROR(Tabla3[[#This Row],[Disponibilidad]]*Tabla3[[#This Row],[Rendimiento]], IF(Tabla3[[#This Row],[LC]]="SI", 0, "No"))</f>
        <v>No</v>
      </c>
      <c r="J224" s="16" t="str">
        <f>IF(Tabla3[[#This Row],[OEE]]="No","",WEEKNUM(Tabla3[[#This Row],[Fecha]]))</f>
        <v/>
      </c>
      <c r="K224" s="27" t="str">
        <f>IFERROR(IF(Tabla3[[#This Row],[OEE]]&lt;&gt;"No",Tabla3[[#This Row],[OEE]]/Tabla3[[#This Row],[Disponibilidad]],""),0)</f>
        <v/>
      </c>
    </row>
    <row r="225" spans="1:11" x14ac:dyDescent="0.25">
      <c r="A225" s="2">
        <v>45906</v>
      </c>
      <c r="B225" s="5">
        <f>SUMIFS('paradas-disp'!F:F,'paradas-disp'!A:A,Tabla3[[#This Row],[Fecha]])</f>
        <v>0</v>
      </c>
      <c r="C225" s="15">
        <f>SUMIFS('paradas-disp'!I:I,'paradas-disp'!A:A,Tabla3[[#This Row],[Fecha]])</f>
        <v>0</v>
      </c>
      <c r="D225" s="15">
        <f>IF(Tabla3[[#This Row],[Fecha]]&lt;53,"",IFERROR(((HOUR(Tabla3[[#This Row],[Horas]])*60+MINUTE(Tabla3[[#This Row],[Horas]]))/60)*$D$1,""))</f>
        <v>0</v>
      </c>
      <c r="E225" s="22" t="str">
        <f>IFERROR(Tabla3[[#This Row],[Cantidad producida]]/Tabla3[[#This Row],[Cantidad teórica]],"")</f>
        <v/>
      </c>
      <c r="F225" s="22">
        <f>IF(Tabla3[[#This Row],[Fecha]]&lt;53,"",IFERROR(Tabla3[[#This Row],[Horas]]/$F$1,""))</f>
        <v>0</v>
      </c>
      <c r="G225" s="15" t="str">
        <f>IF(Tabla3[[#This Row],[Disponibilidad]]="","",IF(Tabla3[[#This Row],[Disponibilidad]]&gt;1,"NO",""))</f>
        <v/>
      </c>
      <c r="H225" t="str">
        <f>IFERROR(IF(VLOOKUP(Tabla3[[#This Row],[Fecha]],Tabla1[[Día]:[P/LC/CF/CL]],5,FALSE)="LC","SI",""),"")</f>
        <v/>
      </c>
      <c r="I225" s="22" t="str">
        <f>IFERROR(Tabla3[[#This Row],[Disponibilidad]]*Tabla3[[#This Row],[Rendimiento]], IF(Tabla3[[#This Row],[LC]]="SI", 0, "No"))</f>
        <v>No</v>
      </c>
      <c r="J225" s="16" t="str">
        <f>IF(Tabla3[[#This Row],[OEE]]="No","",WEEKNUM(Tabla3[[#This Row],[Fecha]]))</f>
        <v/>
      </c>
      <c r="K225" s="27" t="str">
        <f>IFERROR(IF(Tabla3[[#This Row],[OEE]]&lt;&gt;"No",Tabla3[[#This Row],[OEE]]/Tabla3[[#This Row],[Disponibilidad]],""),0)</f>
        <v/>
      </c>
    </row>
    <row r="226" spans="1:11" x14ac:dyDescent="0.25">
      <c r="A226" s="2">
        <v>45907</v>
      </c>
      <c r="B226" s="5">
        <f>SUMIFS('paradas-disp'!F:F,'paradas-disp'!A:A,Tabla3[[#This Row],[Fecha]])</f>
        <v>0</v>
      </c>
      <c r="C226" s="15">
        <f>SUMIFS('paradas-disp'!I:I,'paradas-disp'!A:A,Tabla3[[#This Row],[Fecha]])</f>
        <v>0</v>
      </c>
      <c r="D226" s="15">
        <f>IF(Tabla3[[#This Row],[Fecha]]&lt;53,"",IFERROR(((HOUR(Tabla3[[#This Row],[Horas]])*60+MINUTE(Tabla3[[#This Row],[Horas]]))/60)*$D$1,""))</f>
        <v>0</v>
      </c>
      <c r="E226" s="22" t="str">
        <f>IFERROR(Tabla3[[#This Row],[Cantidad producida]]/Tabla3[[#This Row],[Cantidad teórica]],"")</f>
        <v/>
      </c>
      <c r="F226" s="22">
        <f>IF(Tabla3[[#This Row],[Fecha]]&lt;53,"",IFERROR(Tabla3[[#This Row],[Horas]]/$F$1,""))</f>
        <v>0</v>
      </c>
      <c r="G226" s="15" t="str">
        <f>IF(Tabla3[[#This Row],[Disponibilidad]]="","",IF(Tabla3[[#This Row],[Disponibilidad]]&gt;1,"NO",""))</f>
        <v/>
      </c>
      <c r="H226" t="str">
        <f>IFERROR(IF(VLOOKUP(Tabla3[[#This Row],[Fecha]],Tabla1[[Día]:[P/LC/CF/CL]],5,FALSE)="LC","SI",""),"")</f>
        <v/>
      </c>
      <c r="I226" s="22" t="str">
        <f>IFERROR(Tabla3[[#This Row],[Disponibilidad]]*Tabla3[[#This Row],[Rendimiento]], IF(Tabla3[[#This Row],[LC]]="SI", 0, "No"))</f>
        <v>No</v>
      </c>
      <c r="J226" s="16" t="str">
        <f>IF(Tabla3[[#This Row],[OEE]]="No","",WEEKNUM(Tabla3[[#This Row],[Fecha]]))</f>
        <v/>
      </c>
      <c r="K226" s="27" t="str">
        <f>IFERROR(IF(Tabla3[[#This Row],[OEE]]&lt;&gt;"No",Tabla3[[#This Row],[OEE]]/Tabla3[[#This Row],[Disponibilidad]],""),0)</f>
        <v/>
      </c>
    </row>
    <row r="227" spans="1:11" x14ac:dyDescent="0.25">
      <c r="A227" s="2">
        <v>45908</v>
      </c>
      <c r="B227" s="5">
        <f>SUMIFS('paradas-disp'!F:F,'paradas-disp'!A:A,Tabla3[[#This Row],[Fecha]])</f>
        <v>0</v>
      </c>
      <c r="C227" s="15">
        <f>SUMIFS('paradas-disp'!I:I,'paradas-disp'!A:A,Tabla3[[#This Row],[Fecha]])</f>
        <v>0</v>
      </c>
      <c r="D227" s="15">
        <f>IF(Tabla3[[#This Row],[Fecha]]&lt;53,"",IFERROR(((HOUR(Tabla3[[#This Row],[Horas]])*60+MINUTE(Tabla3[[#This Row],[Horas]]))/60)*$D$1,""))</f>
        <v>0</v>
      </c>
      <c r="E227" s="22" t="str">
        <f>IFERROR(Tabla3[[#This Row],[Cantidad producida]]/Tabla3[[#This Row],[Cantidad teórica]],"")</f>
        <v/>
      </c>
      <c r="F227" s="22">
        <f>IF(Tabla3[[#This Row],[Fecha]]&lt;53,"",IFERROR(Tabla3[[#This Row],[Horas]]/$F$1,""))</f>
        <v>0</v>
      </c>
      <c r="G227" s="15" t="str">
        <f>IF(Tabla3[[#This Row],[Disponibilidad]]="","",IF(Tabla3[[#This Row],[Disponibilidad]]&gt;1,"NO",""))</f>
        <v/>
      </c>
      <c r="H227" t="str">
        <f>IFERROR(IF(VLOOKUP(Tabla3[[#This Row],[Fecha]],Tabla1[[Día]:[P/LC/CF/CL]],5,FALSE)="LC","SI",""),"")</f>
        <v/>
      </c>
      <c r="I227" s="22" t="str">
        <f>IFERROR(Tabla3[[#This Row],[Disponibilidad]]*Tabla3[[#This Row],[Rendimiento]], IF(Tabla3[[#This Row],[LC]]="SI", 0, "No"))</f>
        <v>No</v>
      </c>
      <c r="J227" s="16" t="str">
        <f>IF(Tabla3[[#This Row],[OEE]]="No","",WEEKNUM(Tabla3[[#This Row],[Fecha]]))</f>
        <v/>
      </c>
      <c r="K227" s="27" t="str">
        <f>IFERROR(IF(Tabla3[[#This Row],[OEE]]&lt;&gt;"No",Tabla3[[#This Row],[OEE]]/Tabla3[[#This Row],[Disponibilidad]],""),0)</f>
        <v/>
      </c>
    </row>
    <row r="228" spans="1:11" x14ac:dyDescent="0.25">
      <c r="A228" s="2">
        <v>45909</v>
      </c>
      <c r="B228" s="5">
        <f>SUMIFS('paradas-disp'!F:F,'paradas-disp'!A:A,Tabla3[[#This Row],[Fecha]])</f>
        <v>0</v>
      </c>
      <c r="C228" s="15">
        <f>SUMIFS('paradas-disp'!I:I,'paradas-disp'!A:A,Tabla3[[#This Row],[Fecha]])</f>
        <v>0</v>
      </c>
      <c r="D228" s="15">
        <f>IF(Tabla3[[#This Row],[Fecha]]&lt;53,"",IFERROR(((HOUR(Tabla3[[#This Row],[Horas]])*60+MINUTE(Tabla3[[#This Row],[Horas]]))/60)*$D$1,""))</f>
        <v>0</v>
      </c>
      <c r="E228" s="22" t="str">
        <f>IFERROR(Tabla3[[#This Row],[Cantidad producida]]/Tabla3[[#This Row],[Cantidad teórica]],"")</f>
        <v/>
      </c>
      <c r="F228" s="22">
        <f>IF(Tabla3[[#This Row],[Fecha]]&lt;53,"",IFERROR(Tabla3[[#This Row],[Horas]]/$F$1,""))</f>
        <v>0</v>
      </c>
      <c r="G228" s="15" t="str">
        <f>IF(Tabla3[[#This Row],[Disponibilidad]]="","",IF(Tabla3[[#This Row],[Disponibilidad]]&gt;1,"NO",""))</f>
        <v/>
      </c>
      <c r="H228" t="str">
        <f>IFERROR(IF(VLOOKUP(Tabla3[[#This Row],[Fecha]],Tabla1[[Día]:[P/LC/CF/CL]],5,FALSE)="LC","SI",""),"")</f>
        <v/>
      </c>
      <c r="I228" s="22" t="str">
        <f>IFERROR(Tabla3[[#This Row],[Disponibilidad]]*Tabla3[[#This Row],[Rendimiento]], IF(Tabla3[[#This Row],[LC]]="SI", 0, "No"))</f>
        <v>No</v>
      </c>
      <c r="J228" s="16" t="str">
        <f>IF(Tabla3[[#This Row],[OEE]]="No","",WEEKNUM(Tabla3[[#This Row],[Fecha]]))</f>
        <v/>
      </c>
      <c r="K228" s="27" t="str">
        <f>IFERROR(IF(Tabla3[[#This Row],[OEE]]&lt;&gt;"No",Tabla3[[#This Row],[OEE]]/Tabla3[[#This Row],[Disponibilidad]],""),0)</f>
        <v/>
      </c>
    </row>
    <row r="229" spans="1:11" x14ac:dyDescent="0.25">
      <c r="A229" s="2">
        <v>45910</v>
      </c>
      <c r="B229" s="5">
        <f>SUMIFS('paradas-disp'!F:F,'paradas-disp'!A:A,Tabla3[[#This Row],[Fecha]])</f>
        <v>0</v>
      </c>
      <c r="C229" s="15">
        <f>SUMIFS('paradas-disp'!I:I,'paradas-disp'!A:A,Tabla3[[#This Row],[Fecha]])</f>
        <v>0</v>
      </c>
      <c r="D229" s="15">
        <f>IF(Tabla3[[#This Row],[Fecha]]&lt;53,"",IFERROR(((HOUR(Tabla3[[#This Row],[Horas]])*60+MINUTE(Tabla3[[#This Row],[Horas]]))/60)*$D$1,""))</f>
        <v>0</v>
      </c>
      <c r="E229" s="22" t="str">
        <f>IFERROR(Tabla3[[#This Row],[Cantidad producida]]/Tabla3[[#This Row],[Cantidad teórica]],"")</f>
        <v/>
      </c>
      <c r="F229" s="22">
        <f>IF(Tabla3[[#This Row],[Fecha]]&lt;53,"",IFERROR(Tabla3[[#This Row],[Horas]]/$F$1,""))</f>
        <v>0</v>
      </c>
      <c r="G229" s="15" t="str">
        <f>IF(Tabla3[[#This Row],[Disponibilidad]]="","",IF(Tabla3[[#This Row],[Disponibilidad]]&gt;1,"NO",""))</f>
        <v/>
      </c>
      <c r="H229" t="str">
        <f>IFERROR(IF(VLOOKUP(Tabla3[[#This Row],[Fecha]],Tabla1[[Día]:[P/LC/CF/CL]],5,FALSE)="LC","SI",""),"")</f>
        <v/>
      </c>
      <c r="I229" s="22" t="str">
        <f>IFERROR(Tabla3[[#This Row],[Disponibilidad]]*Tabla3[[#This Row],[Rendimiento]], IF(Tabla3[[#This Row],[LC]]="SI", 0, "No"))</f>
        <v>No</v>
      </c>
      <c r="J229" s="16" t="str">
        <f>IF(Tabla3[[#This Row],[OEE]]="No","",WEEKNUM(Tabla3[[#This Row],[Fecha]]))</f>
        <v/>
      </c>
      <c r="K229" s="27" t="str">
        <f>IFERROR(IF(Tabla3[[#This Row],[OEE]]&lt;&gt;"No",Tabla3[[#This Row],[OEE]]/Tabla3[[#This Row],[Disponibilidad]],""),0)</f>
        <v/>
      </c>
    </row>
    <row r="230" spans="1:11" x14ac:dyDescent="0.25">
      <c r="A230" s="2">
        <v>45911</v>
      </c>
      <c r="B230" s="5">
        <f>SUMIFS('paradas-disp'!F:F,'paradas-disp'!A:A,Tabla3[[#This Row],[Fecha]])</f>
        <v>0</v>
      </c>
      <c r="C230" s="15">
        <f>SUMIFS('paradas-disp'!I:I,'paradas-disp'!A:A,Tabla3[[#This Row],[Fecha]])</f>
        <v>0</v>
      </c>
      <c r="D230" s="15">
        <f>IF(Tabla3[[#This Row],[Fecha]]&lt;53,"",IFERROR(((HOUR(Tabla3[[#This Row],[Horas]])*60+MINUTE(Tabla3[[#This Row],[Horas]]))/60)*$D$1,""))</f>
        <v>0</v>
      </c>
      <c r="E230" s="22" t="str">
        <f>IFERROR(Tabla3[[#This Row],[Cantidad producida]]/Tabla3[[#This Row],[Cantidad teórica]],"")</f>
        <v/>
      </c>
      <c r="F230" s="22">
        <f>IF(Tabla3[[#This Row],[Fecha]]&lt;53,"",IFERROR(Tabla3[[#This Row],[Horas]]/$F$1,""))</f>
        <v>0</v>
      </c>
      <c r="G230" s="15" t="str">
        <f>IF(Tabla3[[#This Row],[Disponibilidad]]="","",IF(Tabla3[[#This Row],[Disponibilidad]]&gt;1,"NO",""))</f>
        <v/>
      </c>
      <c r="H230" t="str">
        <f>IFERROR(IF(VLOOKUP(Tabla3[[#This Row],[Fecha]],Tabla1[[Día]:[P/LC/CF/CL]],5,FALSE)="LC","SI",""),"")</f>
        <v/>
      </c>
      <c r="I230" s="22" t="str">
        <f>IFERROR(Tabla3[[#This Row],[Disponibilidad]]*Tabla3[[#This Row],[Rendimiento]], IF(Tabla3[[#This Row],[LC]]="SI", 0, "No"))</f>
        <v>No</v>
      </c>
      <c r="J230" s="16" t="str">
        <f>IF(Tabla3[[#This Row],[OEE]]="No","",WEEKNUM(Tabla3[[#This Row],[Fecha]]))</f>
        <v/>
      </c>
      <c r="K230" s="27" t="str">
        <f>IFERROR(IF(Tabla3[[#This Row],[OEE]]&lt;&gt;"No",Tabla3[[#This Row],[OEE]]/Tabla3[[#This Row],[Disponibilidad]],""),0)</f>
        <v/>
      </c>
    </row>
    <row r="231" spans="1:11" x14ac:dyDescent="0.25">
      <c r="A231" s="2">
        <v>45912</v>
      </c>
      <c r="B231" s="5">
        <f>SUMIFS('paradas-disp'!F:F,'paradas-disp'!A:A,Tabla3[[#This Row],[Fecha]])</f>
        <v>0</v>
      </c>
      <c r="C231" s="15">
        <f>SUMIFS('paradas-disp'!I:I,'paradas-disp'!A:A,Tabla3[[#This Row],[Fecha]])</f>
        <v>0</v>
      </c>
      <c r="D231" s="15">
        <f>IF(Tabla3[[#This Row],[Fecha]]&lt;53,"",IFERROR(((HOUR(Tabla3[[#This Row],[Horas]])*60+MINUTE(Tabla3[[#This Row],[Horas]]))/60)*$D$1,""))</f>
        <v>0</v>
      </c>
      <c r="E231" s="22" t="str">
        <f>IFERROR(Tabla3[[#This Row],[Cantidad producida]]/Tabla3[[#This Row],[Cantidad teórica]],"")</f>
        <v/>
      </c>
      <c r="F231" s="22">
        <f>IF(Tabla3[[#This Row],[Fecha]]&lt;53,"",IFERROR(Tabla3[[#This Row],[Horas]]/$F$1,""))</f>
        <v>0</v>
      </c>
      <c r="G231" s="15" t="str">
        <f>IF(Tabla3[[#This Row],[Disponibilidad]]="","",IF(Tabla3[[#This Row],[Disponibilidad]]&gt;1,"NO",""))</f>
        <v/>
      </c>
      <c r="H231" t="str">
        <f>IFERROR(IF(VLOOKUP(Tabla3[[#This Row],[Fecha]],Tabla1[[Día]:[P/LC/CF/CL]],5,FALSE)="LC","SI",""),"")</f>
        <v/>
      </c>
      <c r="I231" s="22" t="str">
        <f>IFERROR(Tabla3[[#This Row],[Disponibilidad]]*Tabla3[[#This Row],[Rendimiento]], IF(Tabla3[[#This Row],[LC]]="SI", 0, "No"))</f>
        <v>No</v>
      </c>
      <c r="J231" s="16" t="str">
        <f>IF(Tabla3[[#This Row],[OEE]]="No","",WEEKNUM(Tabla3[[#This Row],[Fecha]]))</f>
        <v/>
      </c>
      <c r="K231" s="27" t="str">
        <f>IFERROR(IF(Tabla3[[#This Row],[OEE]]&lt;&gt;"No",Tabla3[[#This Row],[OEE]]/Tabla3[[#This Row],[Disponibilidad]],""),0)</f>
        <v/>
      </c>
    </row>
    <row r="232" spans="1:11" x14ac:dyDescent="0.25">
      <c r="A232" s="2">
        <v>45913</v>
      </c>
      <c r="B232" s="5">
        <f>SUMIFS('paradas-disp'!F:F,'paradas-disp'!A:A,Tabla3[[#This Row],[Fecha]])</f>
        <v>0</v>
      </c>
      <c r="C232" s="15">
        <f>SUMIFS('paradas-disp'!I:I,'paradas-disp'!A:A,Tabla3[[#This Row],[Fecha]])</f>
        <v>0</v>
      </c>
      <c r="D232" s="15">
        <f>IF(Tabla3[[#This Row],[Fecha]]&lt;53,"",IFERROR(((HOUR(Tabla3[[#This Row],[Horas]])*60+MINUTE(Tabla3[[#This Row],[Horas]]))/60)*$D$1,""))</f>
        <v>0</v>
      </c>
      <c r="E232" s="22" t="str">
        <f>IFERROR(Tabla3[[#This Row],[Cantidad producida]]/Tabla3[[#This Row],[Cantidad teórica]],"")</f>
        <v/>
      </c>
      <c r="F232" s="22">
        <f>IF(Tabla3[[#This Row],[Fecha]]&lt;53,"",IFERROR(Tabla3[[#This Row],[Horas]]/$F$1,""))</f>
        <v>0</v>
      </c>
      <c r="G232" s="15" t="str">
        <f>IF(Tabla3[[#This Row],[Disponibilidad]]="","",IF(Tabla3[[#This Row],[Disponibilidad]]&gt;1,"NO",""))</f>
        <v/>
      </c>
      <c r="H232" t="str">
        <f>IFERROR(IF(VLOOKUP(Tabla3[[#This Row],[Fecha]],Tabla1[[Día]:[P/LC/CF/CL]],5,FALSE)="LC","SI",""),"")</f>
        <v/>
      </c>
      <c r="I232" s="22" t="str">
        <f>IFERROR(Tabla3[[#This Row],[Disponibilidad]]*Tabla3[[#This Row],[Rendimiento]], IF(Tabla3[[#This Row],[LC]]="SI", 0, "No"))</f>
        <v>No</v>
      </c>
      <c r="J232" s="16" t="str">
        <f>IF(Tabla3[[#This Row],[OEE]]="No","",WEEKNUM(Tabla3[[#This Row],[Fecha]]))</f>
        <v/>
      </c>
      <c r="K232" s="27" t="str">
        <f>IFERROR(IF(Tabla3[[#This Row],[OEE]]&lt;&gt;"No",Tabla3[[#This Row],[OEE]]/Tabla3[[#This Row],[Disponibilidad]],""),0)</f>
        <v/>
      </c>
    </row>
    <row r="233" spans="1:11" x14ac:dyDescent="0.25">
      <c r="A233" s="2">
        <v>45914</v>
      </c>
      <c r="B233" s="5">
        <f>SUMIFS('paradas-disp'!F:F,'paradas-disp'!A:A,Tabla3[[#This Row],[Fecha]])</f>
        <v>0</v>
      </c>
      <c r="C233" s="15">
        <f>SUMIFS('paradas-disp'!I:I,'paradas-disp'!A:A,Tabla3[[#This Row],[Fecha]])</f>
        <v>0</v>
      </c>
      <c r="D233" s="15">
        <f>IF(Tabla3[[#This Row],[Fecha]]&lt;53,"",IFERROR(((HOUR(Tabla3[[#This Row],[Horas]])*60+MINUTE(Tabla3[[#This Row],[Horas]]))/60)*$D$1,""))</f>
        <v>0</v>
      </c>
      <c r="E233" s="22" t="str">
        <f>IFERROR(Tabla3[[#This Row],[Cantidad producida]]/Tabla3[[#This Row],[Cantidad teórica]],"")</f>
        <v/>
      </c>
      <c r="F233" s="22">
        <f>IF(Tabla3[[#This Row],[Fecha]]&lt;53,"",IFERROR(Tabla3[[#This Row],[Horas]]/$F$1,""))</f>
        <v>0</v>
      </c>
      <c r="G233" s="15" t="str">
        <f>IF(Tabla3[[#This Row],[Disponibilidad]]="","",IF(Tabla3[[#This Row],[Disponibilidad]]&gt;1,"NO",""))</f>
        <v/>
      </c>
      <c r="H233" t="str">
        <f>IFERROR(IF(VLOOKUP(Tabla3[[#This Row],[Fecha]],Tabla1[[Día]:[P/LC/CF/CL]],5,FALSE)="LC","SI",""),"")</f>
        <v/>
      </c>
      <c r="I233" s="22" t="str">
        <f>IFERROR(Tabla3[[#This Row],[Disponibilidad]]*Tabla3[[#This Row],[Rendimiento]], IF(Tabla3[[#This Row],[LC]]="SI", 0, "No"))</f>
        <v>No</v>
      </c>
      <c r="J233" s="16" t="str">
        <f>IF(Tabla3[[#This Row],[OEE]]="No","",WEEKNUM(Tabla3[[#This Row],[Fecha]]))</f>
        <v/>
      </c>
      <c r="K233" s="27" t="str">
        <f>IFERROR(IF(Tabla3[[#This Row],[OEE]]&lt;&gt;"No",Tabla3[[#This Row],[OEE]]/Tabla3[[#This Row],[Disponibilidad]],""),0)</f>
        <v/>
      </c>
    </row>
    <row r="234" spans="1:11" x14ac:dyDescent="0.25">
      <c r="A234" s="2">
        <v>45915</v>
      </c>
      <c r="B234" s="5">
        <f>SUMIFS('paradas-disp'!F:F,'paradas-disp'!A:A,Tabla3[[#This Row],[Fecha]])</f>
        <v>0</v>
      </c>
      <c r="C234" s="15">
        <f>SUMIFS('paradas-disp'!I:I,'paradas-disp'!A:A,Tabla3[[#This Row],[Fecha]])</f>
        <v>0</v>
      </c>
      <c r="D234" s="15">
        <f>IF(Tabla3[[#This Row],[Fecha]]&lt;53,"",IFERROR(((HOUR(Tabla3[[#This Row],[Horas]])*60+MINUTE(Tabla3[[#This Row],[Horas]]))/60)*$D$1,""))</f>
        <v>0</v>
      </c>
      <c r="E234" s="22" t="str">
        <f>IFERROR(Tabla3[[#This Row],[Cantidad producida]]/Tabla3[[#This Row],[Cantidad teórica]],"")</f>
        <v/>
      </c>
      <c r="F234" s="22">
        <f>IF(Tabla3[[#This Row],[Fecha]]&lt;53,"",IFERROR(Tabla3[[#This Row],[Horas]]/$F$1,""))</f>
        <v>0</v>
      </c>
      <c r="G234" s="15" t="str">
        <f>IF(Tabla3[[#This Row],[Disponibilidad]]="","",IF(Tabla3[[#This Row],[Disponibilidad]]&gt;1,"NO",""))</f>
        <v/>
      </c>
      <c r="H234" t="str">
        <f>IFERROR(IF(VLOOKUP(Tabla3[[#This Row],[Fecha]],Tabla1[[Día]:[P/LC/CF/CL]],5,FALSE)="LC","SI",""),"")</f>
        <v/>
      </c>
      <c r="I234" s="22" t="str">
        <f>IFERROR(Tabla3[[#This Row],[Disponibilidad]]*Tabla3[[#This Row],[Rendimiento]], IF(Tabla3[[#This Row],[LC]]="SI", 0, "No"))</f>
        <v>No</v>
      </c>
      <c r="J234" s="16" t="str">
        <f>IF(Tabla3[[#This Row],[OEE]]="No","",WEEKNUM(Tabla3[[#This Row],[Fecha]]))</f>
        <v/>
      </c>
      <c r="K234" s="27" t="str">
        <f>IFERROR(IF(Tabla3[[#This Row],[OEE]]&lt;&gt;"No",Tabla3[[#This Row],[OEE]]/Tabla3[[#This Row],[Disponibilidad]],""),0)</f>
        <v/>
      </c>
    </row>
    <row r="235" spans="1:11" x14ac:dyDescent="0.25">
      <c r="A235" s="2">
        <v>45916</v>
      </c>
      <c r="B235" s="5">
        <f>SUMIFS('paradas-disp'!F:F,'paradas-disp'!A:A,Tabla3[[#This Row],[Fecha]])</f>
        <v>0</v>
      </c>
      <c r="C235" s="15">
        <f>SUMIFS('paradas-disp'!I:I,'paradas-disp'!A:A,Tabla3[[#This Row],[Fecha]])</f>
        <v>0</v>
      </c>
      <c r="D235" s="15">
        <f>IF(Tabla3[[#This Row],[Fecha]]&lt;53,"",IFERROR(((HOUR(Tabla3[[#This Row],[Horas]])*60+MINUTE(Tabla3[[#This Row],[Horas]]))/60)*$D$1,""))</f>
        <v>0</v>
      </c>
      <c r="E235" s="22" t="str">
        <f>IFERROR(Tabla3[[#This Row],[Cantidad producida]]/Tabla3[[#This Row],[Cantidad teórica]],"")</f>
        <v/>
      </c>
      <c r="F235" s="22">
        <f>IF(Tabla3[[#This Row],[Fecha]]&lt;53,"",IFERROR(Tabla3[[#This Row],[Horas]]/$F$1,""))</f>
        <v>0</v>
      </c>
      <c r="G235" s="15" t="str">
        <f>IF(Tabla3[[#This Row],[Disponibilidad]]="","",IF(Tabla3[[#This Row],[Disponibilidad]]&gt;1,"NO",""))</f>
        <v/>
      </c>
      <c r="H235" t="str">
        <f>IFERROR(IF(VLOOKUP(Tabla3[[#This Row],[Fecha]],Tabla1[[Día]:[P/LC/CF/CL]],5,FALSE)="LC","SI",""),"")</f>
        <v/>
      </c>
      <c r="I235" s="22" t="str">
        <f>IFERROR(Tabla3[[#This Row],[Disponibilidad]]*Tabla3[[#This Row],[Rendimiento]], IF(Tabla3[[#This Row],[LC]]="SI", 0, "No"))</f>
        <v>No</v>
      </c>
      <c r="J235" s="16" t="str">
        <f>IF(Tabla3[[#This Row],[OEE]]="No","",WEEKNUM(Tabla3[[#This Row],[Fecha]]))</f>
        <v/>
      </c>
      <c r="K235" s="27" t="str">
        <f>IFERROR(IF(Tabla3[[#This Row],[OEE]]&lt;&gt;"No",Tabla3[[#This Row],[OEE]]/Tabla3[[#This Row],[Disponibilidad]],""),0)</f>
        <v/>
      </c>
    </row>
    <row r="236" spans="1:11" x14ac:dyDescent="0.25">
      <c r="A236" s="2">
        <v>45917</v>
      </c>
      <c r="B236" s="5">
        <f>SUMIFS('paradas-disp'!F:F,'paradas-disp'!A:A,Tabla3[[#This Row],[Fecha]])</f>
        <v>0</v>
      </c>
      <c r="C236" s="15">
        <f>SUMIFS('paradas-disp'!I:I,'paradas-disp'!A:A,Tabla3[[#This Row],[Fecha]])</f>
        <v>0</v>
      </c>
      <c r="D236" s="15">
        <f>IF(Tabla3[[#This Row],[Fecha]]&lt;53,"",IFERROR(((HOUR(Tabla3[[#This Row],[Horas]])*60+MINUTE(Tabla3[[#This Row],[Horas]]))/60)*$D$1,""))</f>
        <v>0</v>
      </c>
      <c r="E236" s="22" t="str">
        <f>IFERROR(Tabla3[[#This Row],[Cantidad producida]]/Tabla3[[#This Row],[Cantidad teórica]],"")</f>
        <v/>
      </c>
      <c r="F236" s="22">
        <f>IF(Tabla3[[#This Row],[Fecha]]&lt;53,"",IFERROR(Tabla3[[#This Row],[Horas]]/$F$1,""))</f>
        <v>0</v>
      </c>
      <c r="G236" s="15" t="str">
        <f>IF(Tabla3[[#This Row],[Disponibilidad]]="","",IF(Tabla3[[#This Row],[Disponibilidad]]&gt;1,"NO",""))</f>
        <v/>
      </c>
      <c r="H236" t="str">
        <f>IFERROR(IF(VLOOKUP(Tabla3[[#This Row],[Fecha]],Tabla1[[Día]:[P/LC/CF/CL]],5,FALSE)="LC","SI",""),"")</f>
        <v/>
      </c>
      <c r="I236" s="22" t="str">
        <f>IFERROR(Tabla3[[#This Row],[Disponibilidad]]*Tabla3[[#This Row],[Rendimiento]], IF(Tabla3[[#This Row],[LC]]="SI", 0, "No"))</f>
        <v>No</v>
      </c>
      <c r="J236" s="16" t="str">
        <f>IF(Tabla3[[#This Row],[OEE]]="No","",WEEKNUM(Tabla3[[#This Row],[Fecha]]))</f>
        <v/>
      </c>
      <c r="K236" s="27" t="str">
        <f>IFERROR(IF(Tabla3[[#This Row],[OEE]]&lt;&gt;"No",Tabla3[[#This Row],[OEE]]/Tabla3[[#This Row],[Disponibilidad]],""),0)</f>
        <v/>
      </c>
    </row>
    <row r="237" spans="1:11" x14ac:dyDescent="0.25">
      <c r="A237" s="2">
        <v>45918</v>
      </c>
      <c r="B237" s="5">
        <f>SUMIFS('paradas-disp'!F:F,'paradas-disp'!A:A,Tabla3[[#This Row],[Fecha]])</f>
        <v>0</v>
      </c>
      <c r="C237" s="15">
        <f>SUMIFS('paradas-disp'!I:I,'paradas-disp'!A:A,Tabla3[[#This Row],[Fecha]])</f>
        <v>0</v>
      </c>
      <c r="D237" s="15">
        <f>IF(Tabla3[[#This Row],[Fecha]]&lt;53,"",IFERROR(((HOUR(Tabla3[[#This Row],[Horas]])*60+MINUTE(Tabla3[[#This Row],[Horas]]))/60)*$D$1,""))</f>
        <v>0</v>
      </c>
      <c r="E237" s="22" t="str">
        <f>IFERROR(Tabla3[[#This Row],[Cantidad producida]]/Tabla3[[#This Row],[Cantidad teórica]],"")</f>
        <v/>
      </c>
      <c r="F237" s="22">
        <f>IF(Tabla3[[#This Row],[Fecha]]&lt;53,"",IFERROR(Tabla3[[#This Row],[Horas]]/$F$1,""))</f>
        <v>0</v>
      </c>
      <c r="G237" s="15" t="str">
        <f>IF(Tabla3[[#This Row],[Disponibilidad]]="","",IF(Tabla3[[#This Row],[Disponibilidad]]&gt;1,"NO",""))</f>
        <v/>
      </c>
      <c r="H237" t="str">
        <f>IFERROR(IF(VLOOKUP(Tabla3[[#This Row],[Fecha]],Tabla1[[Día]:[P/LC/CF/CL]],5,FALSE)="LC","SI",""),"")</f>
        <v/>
      </c>
      <c r="I237" s="22" t="str">
        <f>IFERROR(Tabla3[[#This Row],[Disponibilidad]]*Tabla3[[#This Row],[Rendimiento]], IF(Tabla3[[#This Row],[LC]]="SI", 0, "No"))</f>
        <v>No</v>
      </c>
      <c r="J237" s="16" t="str">
        <f>IF(Tabla3[[#This Row],[OEE]]="No","",WEEKNUM(Tabla3[[#This Row],[Fecha]]))</f>
        <v/>
      </c>
      <c r="K237" s="27" t="str">
        <f>IFERROR(IF(Tabla3[[#This Row],[OEE]]&lt;&gt;"No",Tabla3[[#This Row],[OEE]]/Tabla3[[#This Row],[Disponibilidad]],""),0)</f>
        <v/>
      </c>
    </row>
    <row r="238" spans="1:11" x14ac:dyDescent="0.25">
      <c r="A238" s="2">
        <v>45919</v>
      </c>
      <c r="B238" s="5">
        <f>SUMIFS('paradas-disp'!F:F,'paradas-disp'!A:A,Tabla3[[#This Row],[Fecha]])</f>
        <v>0</v>
      </c>
      <c r="C238" s="15">
        <f>SUMIFS('paradas-disp'!I:I,'paradas-disp'!A:A,Tabla3[[#This Row],[Fecha]])</f>
        <v>0</v>
      </c>
      <c r="D238" s="15">
        <f>IF(Tabla3[[#This Row],[Fecha]]&lt;53,"",IFERROR(((HOUR(Tabla3[[#This Row],[Horas]])*60+MINUTE(Tabla3[[#This Row],[Horas]]))/60)*$D$1,""))</f>
        <v>0</v>
      </c>
      <c r="E238" s="22" t="str">
        <f>IFERROR(Tabla3[[#This Row],[Cantidad producida]]/Tabla3[[#This Row],[Cantidad teórica]],"")</f>
        <v/>
      </c>
      <c r="F238" s="22">
        <f>IF(Tabla3[[#This Row],[Fecha]]&lt;53,"",IFERROR(Tabla3[[#This Row],[Horas]]/$F$1,""))</f>
        <v>0</v>
      </c>
      <c r="G238" s="15" t="str">
        <f>IF(Tabla3[[#This Row],[Disponibilidad]]="","",IF(Tabla3[[#This Row],[Disponibilidad]]&gt;1,"NO",""))</f>
        <v/>
      </c>
      <c r="H238" t="str">
        <f>IFERROR(IF(VLOOKUP(Tabla3[[#This Row],[Fecha]],Tabla1[[Día]:[P/LC/CF/CL]],5,FALSE)="LC","SI",""),"")</f>
        <v/>
      </c>
      <c r="I238" s="22" t="str">
        <f>IFERROR(Tabla3[[#This Row],[Disponibilidad]]*Tabla3[[#This Row],[Rendimiento]], IF(Tabla3[[#This Row],[LC]]="SI", 0, "No"))</f>
        <v>No</v>
      </c>
      <c r="J238" s="16" t="str">
        <f>IF(Tabla3[[#This Row],[OEE]]="No","",WEEKNUM(Tabla3[[#This Row],[Fecha]]))</f>
        <v/>
      </c>
      <c r="K238" s="27" t="str">
        <f>IFERROR(IF(Tabla3[[#This Row],[OEE]]&lt;&gt;"No",Tabla3[[#This Row],[OEE]]/Tabla3[[#This Row],[Disponibilidad]],""),0)</f>
        <v/>
      </c>
    </row>
    <row r="239" spans="1:11" x14ac:dyDescent="0.25">
      <c r="A239" s="2">
        <v>45920</v>
      </c>
      <c r="B239" s="5">
        <f>SUMIFS('paradas-disp'!F:F,'paradas-disp'!A:A,Tabla3[[#This Row],[Fecha]])</f>
        <v>0</v>
      </c>
      <c r="C239" s="15">
        <f>SUMIFS('paradas-disp'!I:I,'paradas-disp'!A:A,Tabla3[[#This Row],[Fecha]])</f>
        <v>0</v>
      </c>
      <c r="D239" s="15">
        <f>IF(Tabla3[[#This Row],[Fecha]]&lt;53,"",IFERROR(((HOUR(Tabla3[[#This Row],[Horas]])*60+MINUTE(Tabla3[[#This Row],[Horas]]))/60)*$D$1,""))</f>
        <v>0</v>
      </c>
      <c r="E239" s="22" t="str">
        <f>IFERROR(Tabla3[[#This Row],[Cantidad producida]]/Tabla3[[#This Row],[Cantidad teórica]],"")</f>
        <v/>
      </c>
      <c r="F239" s="22">
        <f>IF(Tabla3[[#This Row],[Fecha]]&lt;53,"",IFERROR(Tabla3[[#This Row],[Horas]]/$F$1,""))</f>
        <v>0</v>
      </c>
      <c r="G239" s="15" t="str">
        <f>IF(Tabla3[[#This Row],[Disponibilidad]]="","",IF(Tabla3[[#This Row],[Disponibilidad]]&gt;1,"NO",""))</f>
        <v/>
      </c>
      <c r="H239" t="str">
        <f>IFERROR(IF(VLOOKUP(Tabla3[[#This Row],[Fecha]],Tabla1[[Día]:[P/LC/CF/CL]],5,FALSE)="LC","SI",""),"")</f>
        <v/>
      </c>
      <c r="I239" s="22" t="str">
        <f>IFERROR(Tabla3[[#This Row],[Disponibilidad]]*Tabla3[[#This Row],[Rendimiento]], IF(Tabla3[[#This Row],[LC]]="SI", 0, "No"))</f>
        <v>No</v>
      </c>
      <c r="J239" s="16" t="str">
        <f>IF(Tabla3[[#This Row],[OEE]]="No","",WEEKNUM(Tabla3[[#This Row],[Fecha]]))</f>
        <v/>
      </c>
      <c r="K239" s="27" t="str">
        <f>IFERROR(IF(Tabla3[[#This Row],[OEE]]&lt;&gt;"No",Tabla3[[#This Row],[OEE]]/Tabla3[[#This Row],[Disponibilidad]],""),0)</f>
        <v/>
      </c>
    </row>
    <row r="240" spans="1:11" x14ac:dyDescent="0.25">
      <c r="A240" s="2">
        <v>45921</v>
      </c>
      <c r="B240" s="5">
        <f>SUMIFS('paradas-disp'!F:F,'paradas-disp'!A:A,Tabla3[[#This Row],[Fecha]])</f>
        <v>0</v>
      </c>
      <c r="C240" s="15">
        <f>SUMIFS('paradas-disp'!I:I,'paradas-disp'!A:A,Tabla3[[#This Row],[Fecha]])</f>
        <v>0</v>
      </c>
      <c r="D240" s="15">
        <f>IF(Tabla3[[#This Row],[Fecha]]&lt;53,"",IFERROR(((HOUR(Tabla3[[#This Row],[Horas]])*60+MINUTE(Tabla3[[#This Row],[Horas]]))/60)*$D$1,""))</f>
        <v>0</v>
      </c>
      <c r="E240" s="22" t="str">
        <f>IFERROR(Tabla3[[#This Row],[Cantidad producida]]/Tabla3[[#This Row],[Cantidad teórica]],"")</f>
        <v/>
      </c>
      <c r="F240" s="22">
        <f>IF(Tabla3[[#This Row],[Fecha]]&lt;53,"",IFERROR(Tabla3[[#This Row],[Horas]]/$F$1,""))</f>
        <v>0</v>
      </c>
      <c r="G240" s="15" t="str">
        <f>IF(Tabla3[[#This Row],[Disponibilidad]]="","",IF(Tabla3[[#This Row],[Disponibilidad]]&gt;1,"NO",""))</f>
        <v/>
      </c>
      <c r="H240" t="str">
        <f>IFERROR(IF(VLOOKUP(Tabla3[[#This Row],[Fecha]],Tabla1[[Día]:[P/LC/CF/CL]],5,FALSE)="LC","SI",""),"")</f>
        <v/>
      </c>
      <c r="I240" s="22" t="str">
        <f>IFERROR(Tabla3[[#This Row],[Disponibilidad]]*Tabla3[[#This Row],[Rendimiento]], IF(Tabla3[[#This Row],[LC]]="SI", 0, "No"))</f>
        <v>No</v>
      </c>
      <c r="J240" s="16" t="str">
        <f>IF(Tabla3[[#This Row],[OEE]]="No","",WEEKNUM(Tabla3[[#This Row],[Fecha]]))</f>
        <v/>
      </c>
      <c r="K240" s="27" t="str">
        <f>IFERROR(IF(Tabla3[[#This Row],[OEE]]&lt;&gt;"No",Tabla3[[#This Row],[OEE]]/Tabla3[[#This Row],[Disponibilidad]],""),0)</f>
        <v/>
      </c>
    </row>
    <row r="241" spans="1:11" x14ac:dyDescent="0.25">
      <c r="A241" s="2">
        <v>45922</v>
      </c>
      <c r="B241" s="5">
        <f>SUMIFS('paradas-disp'!F:F,'paradas-disp'!A:A,Tabla3[[#This Row],[Fecha]])</f>
        <v>0</v>
      </c>
      <c r="C241" s="15">
        <f>SUMIFS('paradas-disp'!I:I,'paradas-disp'!A:A,Tabla3[[#This Row],[Fecha]])</f>
        <v>0</v>
      </c>
      <c r="D241" s="15">
        <f>IF(Tabla3[[#This Row],[Fecha]]&lt;53,"",IFERROR(((HOUR(Tabla3[[#This Row],[Horas]])*60+MINUTE(Tabla3[[#This Row],[Horas]]))/60)*$D$1,""))</f>
        <v>0</v>
      </c>
      <c r="E241" s="22" t="str">
        <f>IFERROR(Tabla3[[#This Row],[Cantidad producida]]/Tabla3[[#This Row],[Cantidad teórica]],"")</f>
        <v/>
      </c>
      <c r="F241" s="22">
        <f>IF(Tabla3[[#This Row],[Fecha]]&lt;53,"",IFERROR(Tabla3[[#This Row],[Horas]]/$F$1,""))</f>
        <v>0</v>
      </c>
      <c r="G241" s="15" t="str">
        <f>IF(Tabla3[[#This Row],[Disponibilidad]]="","",IF(Tabla3[[#This Row],[Disponibilidad]]&gt;1,"NO",""))</f>
        <v/>
      </c>
      <c r="H241" t="str">
        <f>IFERROR(IF(VLOOKUP(Tabla3[[#This Row],[Fecha]],Tabla1[[Día]:[P/LC/CF/CL]],5,FALSE)="LC","SI",""),"")</f>
        <v/>
      </c>
      <c r="I241" s="22" t="str">
        <f>IFERROR(Tabla3[[#This Row],[Disponibilidad]]*Tabla3[[#This Row],[Rendimiento]], IF(Tabla3[[#This Row],[LC]]="SI", 0, "No"))</f>
        <v>No</v>
      </c>
      <c r="J241" s="16" t="str">
        <f>IF(Tabla3[[#This Row],[OEE]]="No","",WEEKNUM(Tabla3[[#This Row],[Fecha]]))</f>
        <v/>
      </c>
      <c r="K241" s="27" t="str">
        <f>IFERROR(IF(Tabla3[[#This Row],[OEE]]&lt;&gt;"No",Tabla3[[#This Row],[OEE]]/Tabla3[[#This Row],[Disponibilidad]],""),0)</f>
        <v/>
      </c>
    </row>
    <row r="242" spans="1:11" x14ac:dyDescent="0.25">
      <c r="A242" s="2">
        <v>45923</v>
      </c>
      <c r="B242" s="5">
        <f>SUMIFS('paradas-disp'!F:F,'paradas-disp'!A:A,Tabla3[[#This Row],[Fecha]])</f>
        <v>0</v>
      </c>
      <c r="C242" s="15">
        <f>SUMIFS('paradas-disp'!I:I,'paradas-disp'!A:A,Tabla3[[#This Row],[Fecha]])</f>
        <v>0</v>
      </c>
      <c r="D242" s="15">
        <f>IF(Tabla3[[#This Row],[Fecha]]&lt;53,"",IFERROR(((HOUR(Tabla3[[#This Row],[Horas]])*60+MINUTE(Tabla3[[#This Row],[Horas]]))/60)*$D$1,""))</f>
        <v>0</v>
      </c>
      <c r="E242" s="22" t="str">
        <f>IFERROR(Tabla3[[#This Row],[Cantidad producida]]/Tabla3[[#This Row],[Cantidad teórica]],"")</f>
        <v/>
      </c>
      <c r="F242" s="22">
        <f>IF(Tabla3[[#This Row],[Fecha]]&lt;53,"",IFERROR(Tabla3[[#This Row],[Horas]]/$F$1,""))</f>
        <v>0</v>
      </c>
      <c r="G242" s="15" t="str">
        <f>IF(Tabla3[[#This Row],[Disponibilidad]]="","",IF(Tabla3[[#This Row],[Disponibilidad]]&gt;1,"NO",""))</f>
        <v/>
      </c>
      <c r="H242" t="str">
        <f>IFERROR(IF(VLOOKUP(Tabla3[[#This Row],[Fecha]],Tabla1[[Día]:[P/LC/CF/CL]],5,FALSE)="LC","SI",""),"")</f>
        <v/>
      </c>
      <c r="I242" s="22" t="str">
        <f>IFERROR(Tabla3[[#This Row],[Disponibilidad]]*Tabla3[[#This Row],[Rendimiento]], IF(Tabla3[[#This Row],[LC]]="SI", 0, "No"))</f>
        <v>No</v>
      </c>
      <c r="J242" s="16" t="str">
        <f>IF(Tabla3[[#This Row],[OEE]]="No","",WEEKNUM(Tabla3[[#This Row],[Fecha]]))</f>
        <v/>
      </c>
      <c r="K242" s="27" t="str">
        <f>IFERROR(IF(Tabla3[[#This Row],[OEE]]&lt;&gt;"No",Tabla3[[#This Row],[OEE]]/Tabla3[[#This Row],[Disponibilidad]],""),0)</f>
        <v/>
      </c>
    </row>
    <row r="243" spans="1:11" x14ac:dyDescent="0.25">
      <c r="A243" s="2">
        <v>45924</v>
      </c>
      <c r="B243" s="5">
        <f>SUMIFS('paradas-disp'!F:F,'paradas-disp'!A:A,Tabla3[[#This Row],[Fecha]])</f>
        <v>0</v>
      </c>
      <c r="C243" s="15">
        <f>SUMIFS('paradas-disp'!I:I,'paradas-disp'!A:A,Tabla3[[#This Row],[Fecha]])</f>
        <v>0</v>
      </c>
      <c r="D243" s="15">
        <f>IF(Tabla3[[#This Row],[Fecha]]&lt;53,"",IFERROR(((HOUR(Tabla3[[#This Row],[Horas]])*60+MINUTE(Tabla3[[#This Row],[Horas]]))/60)*$D$1,""))</f>
        <v>0</v>
      </c>
      <c r="E243" s="22" t="str">
        <f>IFERROR(Tabla3[[#This Row],[Cantidad producida]]/Tabla3[[#This Row],[Cantidad teórica]],"")</f>
        <v/>
      </c>
      <c r="F243" s="22">
        <f>IF(Tabla3[[#This Row],[Fecha]]&lt;53,"",IFERROR(Tabla3[[#This Row],[Horas]]/$F$1,""))</f>
        <v>0</v>
      </c>
      <c r="G243" s="15" t="str">
        <f>IF(Tabla3[[#This Row],[Disponibilidad]]="","",IF(Tabla3[[#This Row],[Disponibilidad]]&gt;1,"NO",""))</f>
        <v/>
      </c>
      <c r="H243" t="str">
        <f>IFERROR(IF(VLOOKUP(Tabla3[[#This Row],[Fecha]],Tabla1[[Día]:[P/LC/CF/CL]],5,FALSE)="LC","SI",""),"")</f>
        <v/>
      </c>
      <c r="I243" s="22" t="str">
        <f>IFERROR(Tabla3[[#This Row],[Disponibilidad]]*Tabla3[[#This Row],[Rendimiento]], IF(Tabla3[[#This Row],[LC]]="SI", 0, "No"))</f>
        <v>No</v>
      </c>
      <c r="J243" s="16" t="str">
        <f>IF(Tabla3[[#This Row],[OEE]]="No","",WEEKNUM(Tabla3[[#This Row],[Fecha]]))</f>
        <v/>
      </c>
      <c r="K243" s="27" t="str">
        <f>IFERROR(IF(Tabla3[[#This Row],[OEE]]&lt;&gt;"No",Tabla3[[#This Row],[OEE]]/Tabla3[[#This Row],[Disponibilidad]],""),0)</f>
        <v/>
      </c>
    </row>
    <row r="244" spans="1:11" x14ac:dyDescent="0.25">
      <c r="A244" s="2">
        <v>45925</v>
      </c>
      <c r="B244" s="5">
        <f>SUMIFS('paradas-disp'!F:F,'paradas-disp'!A:A,Tabla3[[#This Row],[Fecha]])</f>
        <v>0</v>
      </c>
      <c r="C244" s="15">
        <f>SUMIFS('paradas-disp'!I:I,'paradas-disp'!A:A,Tabla3[[#This Row],[Fecha]])</f>
        <v>0</v>
      </c>
      <c r="D244" s="15">
        <f>IF(Tabla3[[#This Row],[Fecha]]&lt;53,"",IFERROR(((HOUR(Tabla3[[#This Row],[Horas]])*60+MINUTE(Tabla3[[#This Row],[Horas]]))/60)*$D$1,""))</f>
        <v>0</v>
      </c>
      <c r="E244" s="22" t="str">
        <f>IFERROR(Tabla3[[#This Row],[Cantidad producida]]/Tabla3[[#This Row],[Cantidad teórica]],"")</f>
        <v/>
      </c>
      <c r="F244" s="22">
        <f>IF(Tabla3[[#This Row],[Fecha]]&lt;53,"",IFERROR(Tabla3[[#This Row],[Horas]]/$F$1,""))</f>
        <v>0</v>
      </c>
      <c r="G244" s="15" t="str">
        <f>IF(Tabla3[[#This Row],[Disponibilidad]]="","",IF(Tabla3[[#This Row],[Disponibilidad]]&gt;1,"NO",""))</f>
        <v/>
      </c>
      <c r="H244" t="str">
        <f>IFERROR(IF(VLOOKUP(Tabla3[[#This Row],[Fecha]],Tabla1[[Día]:[P/LC/CF/CL]],5,FALSE)="LC","SI",""),"")</f>
        <v/>
      </c>
      <c r="I244" s="22" t="str">
        <f>IFERROR(Tabla3[[#This Row],[Disponibilidad]]*Tabla3[[#This Row],[Rendimiento]], IF(Tabla3[[#This Row],[LC]]="SI", 0, "No"))</f>
        <v>No</v>
      </c>
      <c r="J244" s="16" t="str">
        <f>IF(Tabla3[[#This Row],[OEE]]="No","",WEEKNUM(Tabla3[[#This Row],[Fecha]]))</f>
        <v/>
      </c>
      <c r="K244" s="27" t="str">
        <f>IFERROR(IF(Tabla3[[#This Row],[OEE]]&lt;&gt;"No",Tabla3[[#This Row],[OEE]]/Tabla3[[#This Row],[Disponibilidad]],""),0)</f>
        <v/>
      </c>
    </row>
    <row r="245" spans="1:11" x14ac:dyDescent="0.25">
      <c r="A245" s="2">
        <v>45926</v>
      </c>
      <c r="B245" s="5">
        <f>SUMIFS('paradas-disp'!F:F,'paradas-disp'!A:A,Tabla3[[#This Row],[Fecha]])</f>
        <v>0</v>
      </c>
      <c r="C245" s="15">
        <f>SUMIFS('paradas-disp'!I:I,'paradas-disp'!A:A,Tabla3[[#This Row],[Fecha]])</f>
        <v>0</v>
      </c>
      <c r="D245" s="15">
        <f>IF(Tabla3[[#This Row],[Fecha]]&lt;53,"",IFERROR(((HOUR(Tabla3[[#This Row],[Horas]])*60+MINUTE(Tabla3[[#This Row],[Horas]]))/60)*$D$1,""))</f>
        <v>0</v>
      </c>
      <c r="E245" s="22" t="str">
        <f>IFERROR(Tabla3[[#This Row],[Cantidad producida]]/Tabla3[[#This Row],[Cantidad teórica]],"")</f>
        <v/>
      </c>
      <c r="F245" s="22">
        <f>IF(Tabla3[[#This Row],[Fecha]]&lt;53,"",IFERROR(Tabla3[[#This Row],[Horas]]/$F$1,""))</f>
        <v>0</v>
      </c>
      <c r="G245" s="15" t="str">
        <f>IF(Tabla3[[#This Row],[Disponibilidad]]="","",IF(Tabla3[[#This Row],[Disponibilidad]]&gt;1,"NO",""))</f>
        <v/>
      </c>
      <c r="H245" t="str">
        <f>IFERROR(IF(VLOOKUP(Tabla3[[#This Row],[Fecha]],Tabla1[[Día]:[P/LC/CF/CL]],5,FALSE)="LC","SI",""),"")</f>
        <v/>
      </c>
      <c r="I245" s="22" t="str">
        <f>IFERROR(Tabla3[[#This Row],[Disponibilidad]]*Tabla3[[#This Row],[Rendimiento]], IF(Tabla3[[#This Row],[LC]]="SI", 0, "No"))</f>
        <v>No</v>
      </c>
      <c r="J245" s="16" t="str">
        <f>IF(Tabla3[[#This Row],[OEE]]="No","",WEEKNUM(Tabla3[[#This Row],[Fecha]]))</f>
        <v/>
      </c>
      <c r="K245" s="27" t="str">
        <f>IFERROR(IF(Tabla3[[#This Row],[OEE]]&lt;&gt;"No",Tabla3[[#This Row],[OEE]]/Tabla3[[#This Row],[Disponibilidad]],""),0)</f>
        <v/>
      </c>
    </row>
    <row r="246" spans="1:11" x14ac:dyDescent="0.25">
      <c r="A246" s="2">
        <v>45927</v>
      </c>
      <c r="B246" s="5">
        <f>SUMIFS('paradas-disp'!F:F,'paradas-disp'!A:A,Tabla3[[#This Row],[Fecha]])</f>
        <v>0</v>
      </c>
      <c r="C246" s="15">
        <f>SUMIFS('paradas-disp'!I:I,'paradas-disp'!A:A,Tabla3[[#This Row],[Fecha]])</f>
        <v>0</v>
      </c>
      <c r="D246" s="15">
        <f>IF(Tabla3[[#This Row],[Fecha]]&lt;53,"",IFERROR(((HOUR(Tabla3[[#This Row],[Horas]])*60+MINUTE(Tabla3[[#This Row],[Horas]]))/60)*$D$1,""))</f>
        <v>0</v>
      </c>
      <c r="E246" s="22" t="str">
        <f>IFERROR(Tabla3[[#This Row],[Cantidad producida]]/Tabla3[[#This Row],[Cantidad teórica]],"")</f>
        <v/>
      </c>
      <c r="F246" s="22">
        <f>IF(Tabla3[[#This Row],[Fecha]]&lt;53,"",IFERROR(Tabla3[[#This Row],[Horas]]/$F$1,""))</f>
        <v>0</v>
      </c>
      <c r="G246" s="15" t="str">
        <f>IF(Tabla3[[#This Row],[Disponibilidad]]="","",IF(Tabla3[[#This Row],[Disponibilidad]]&gt;1,"NO",""))</f>
        <v/>
      </c>
      <c r="H246" t="str">
        <f>IFERROR(IF(VLOOKUP(Tabla3[[#This Row],[Fecha]],Tabla1[[Día]:[P/LC/CF/CL]],5,FALSE)="LC","SI",""),"")</f>
        <v/>
      </c>
      <c r="I246" s="22" t="str">
        <f>IFERROR(Tabla3[[#This Row],[Disponibilidad]]*Tabla3[[#This Row],[Rendimiento]], IF(Tabla3[[#This Row],[LC]]="SI", 0, "No"))</f>
        <v>No</v>
      </c>
      <c r="J246" s="16" t="str">
        <f>IF(Tabla3[[#This Row],[OEE]]="No","",WEEKNUM(Tabla3[[#This Row],[Fecha]]))</f>
        <v/>
      </c>
      <c r="K246" s="27" t="str">
        <f>IFERROR(IF(Tabla3[[#This Row],[OEE]]&lt;&gt;"No",Tabla3[[#This Row],[OEE]]/Tabla3[[#This Row],[Disponibilidad]],""),0)</f>
        <v/>
      </c>
    </row>
    <row r="247" spans="1:11" x14ac:dyDescent="0.25">
      <c r="A247" s="2">
        <v>45928</v>
      </c>
      <c r="B247" s="5">
        <f>SUMIFS('paradas-disp'!F:F,'paradas-disp'!A:A,Tabla3[[#This Row],[Fecha]])</f>
        <v>0</v>
      </c>
      <c r="C247" s="15">
        <f>SUMIFS('paradas-disp'!I:I,'paradas-disp'!A:A,Tabla3[[#This Row],[Fecha]])</f>
        <v>0</v>
      </c>
      <c r="D247" s="15">
        <f>IF(Tabla3[[#This Row],[Fecha]]&lt;53,"",IFERROR(((HOUR(Tabla3[[#This Row],[Horas]])*60+MINUTE(Tabla3[[#This Row],[Horas]]))/60)*$D$1,""))</f>
        <v>0</v>
      </c>
      <c r="E247" s="22" t="str">
        <f>IFERROR(Tabla3[[#This Row],[Cantidad producida]]/Tabla3[[#This Row],[Cantidad teórica]],"")</f>
        <v/>
      </c>
      <c r="F247" s="22">
        <f>IF(Tabla3[[#This Row],[Fecha]]&lt;53,"",IFERROR(Tabla3[[#This Row],[Horas]]/$F$1,""))</f>
        <v>0</v>
      </c>
      <c r="G247" s="15" t="str">
        <f>IF(Tabla3[[#This Row],[Disponibilidad]]="","",IF(Tabla3[[#This Row],[Disponibilidad]]&gt;1,"NO",""))</f>
        <v/>
      </c>
      <c r="H247" t="str">
        <f>IFERROR(IF(VLOOKUP(Tabla3[[#This Row],[Fecha]],Tabla1[[Día]:[P/LC/CF/CL]],5,FALSE)="LC","SI",""),"")</f>
        <v/>
      </c>
      <c r="I247" s="22" t="str">
        <f>IFERROR(Tabla3[[#This Row],[Disponibilidad]]*Tabla3[[#This Row],[Rendimiento]], IF(Tabla3[[#This Row],[LC]]="SI", 0, "No"))</f>
        <v>No</v>
      </c>
      <c r="J247" s="16" t="str">
        <f>IF(Tabla3[[#This Row],[OEE]]="No","",WEEKNUM(Tabla3[[#This Row],[Fecha]]))</f>
        <v/>
      </c>
      <c r="K247" s="27" t="str">
        <f>IFERROR(IF(Tabla3[[#This Row],[OEE]]&lt;&gt;"No",Tabla3[[#This Row],[OEE]]/Tabla3[[#This Row],[Disponibilidad]],""),0)</f>
        <v/>
      </c>
    </row>
    <row r="248" spans="1:11" x14ac:dyDescent="0.25">
      <c r="A248" s="2">
        <v>45929</v>
      </c>
      <c r="B248" s="5">
        <f>SUMIFS('paradas-disp'!F:F,'paradas-disp'!A:A,Tabla3[[#This Row],[Fecha]])</f>
        <v>0</v>
      </c>
      <c r="C248" s="15">
        <f>SUMIFS('paradas-disp'!I:I,'paradas-disp'!A:A,Tabla3[[#This Row],[Fecha]])</f>
        <v>0</v>
      </c>
      <c r="D248" s="15">
        <f>IF(Tabla3[[#This Row],[Fecha]]&lt;53,"",IFERROR(((HOUR(Tabla3[[#This Row],[Horas]])*60+MINUTE(Tabla3[[#This Row],[Horas]]))/60)*$D$1,""))</f>
        <v>0</v>
      </c>
      <c r="E248" s="22" t="str">
        <f>IFERROR(Tabla3[[#This Row],[Cantidad producida]]/Tabla3[[#This Row],[Cantidad teórica]],"")</f>
        <v/>
      </c>
      <c r="F248" s="22">
        <f>IF(Tabla3[[#This Row],[Fecha]]&lt;53,"",IFERROR(Tabla3[[#This Row],[Horas]]/$F$1,""))</f>
        <v>0</v>
      </c>
      <c r="G248" s="15" t="str">
        <f>IF(Tabla3[[#This Row],[Disponibilidad]]="","",IF(Tabla3[[#This Row],[Disponibilidad]]&gt;1,"NO",""))</f>
        <v/>
      </c>
      <c r="H248" t="str">
        <f>IFERROR(IF(VLOOKUP(Tabla3[[#This Row],[Fecha]],Tabla1[[Día]:[P/LC/CF/CL]],5,FALSE)="LC","SI",""),"")</f>
        <v/>
      </c>
      <c r="I248" s="22" t="str">
        <f>IFERROR(Tabla3[[#This Row],[Disponibilidad]]*Tabla3[[#This Row],[Rendimiento]], IF(Tabla3[[#This Row],[LC]]="SI", 0, "No"))</f>
        <v>No</v>
      </c>
      <c r="J248" s="16" t="str">
        <f>IF(Tabla3[[#This Row],[OEE]]="No","",WEEKNUM(Tabla3[[#This Row],[Fecha]]))</f>
        <v/>
      </c>
      <c r="K248" s="27" t="str">
        <f>IFERROR(IF(Tabla3[[#This Row],[OEE]]&lt;&gt;"No",Tabla3[[#This Row],[OEE]]/Tabla3[[#This Row],[Disponibilidad]],""),0)</f>
        <v/>
      </c>
    </row>
    <row r="249" spans="1:11" x14ac:dyDescent="0.25">
      <c r="A249" s="2">
        <v>45930</v>
      </c>
      <c r="B249" s="5">
        <f>SUMIFS('paradas-disp'!F:F,'paradas-disp'!A:A,Tabla3[[#This Row],[Fecha]])</f>
        <v>0</v>
      </c>
      <c r="C249" s="15">
        <f>SUMIFS('paradas-disp'!I:I,'paradas-disp'!A:A,Tabla3[[#This Row],[Fecha]])</f>
        <v>0</v>
      </c>
      <c r="D249" s="15">
        <f>IF(Tabla3[[#This Row],[Fecha]]&lt;53,"",IFERROR(((HOUR(Tabla3[[#This Row],[Horas]])*60+MINUTE(Tabla3[[#This Row],[Horas]]))/60)*$D$1,""))</f>
        <v>0</v>
      </c>
      <c r="E249" s="22" t="str">
        <f>IFERROR(Tabla3[[#This Row],[Cantidad producida]]/Tabla3[[#This Row],[Cantidad teórica]],"")</f>
        <v/>
      </c>
      <c r="F249" s="22">
        <f>IF(Tabla3[[#This Row],[Fecha]]&lt;53,"",IFERROR(Tabla3[[#This Row],[Horas]]/$F$1,""))</f>
        <v>0</v>
      </c>
      <c r="G249" s="15" t="str">
        <f>IF(Tabla3[[#This Row],[Disponibilidad]]="","",IF(Tabla3[[#This Row],[Disponibilidad]]&gt;1,"NO",""))</f>
        <v/>
      </c>
      <c r="H249" t="str">
        <f>IFERROR(IF(VLOOKUP(Tabla3[[#This Row],[Fecha]],Tabla1[[Día]:[P/LC/CF/CL]],5,FALSE)="LC","SI",""),"")</f>
        <v/>
      </c>
      <c r="I249" s="22" t="str">
        <f>IFERROR(Tabla3[[#This Row],[Disponibilidad]]*Tabla3[[#This Row],[Rendimiento]], IF(Tabla3[[#This Row],[LC]]="SI", 0, "No"))</f>
        <v>No</v>
      </c>
      <c r="J249" s="16" t="str">
        <f>IF(Tabla3[[#This Row],[OEE]]="No","",WEEKNUM(Tabla3[[#This Row],[Fecha]]))</f>
        <v/>
      </c>
      <c r="K249" s="27" t="str">
        <f>IFERROR(IF(Tabla3[[#This Row],[OEE]]&lt;&gt;"No",Tabla3[[#This Row],[OEE]]/Tabla3[[#This Row],[Disponibilidad]],""),0)</f>
        <v/>
      </c>
    </row>
    <row r="250" spans="1:11" x14ac:dyDescent="0.25">
      <c r="A250" s="2">
        <v>45931</v>
      </c>
      <c r="B250" s="5">
        <f>SUMIFS('paradas-disp'!F:F,'paradas-disp'!A:A,Tabla3[[#This Row],[Fecha]])</f>
        <v>0</v>
      </c>
      <c r="C250" s="15">
        <f>SUMIFS('paradas-disp'!I:I,'paradas-disp'!A:A,Tabla3[[#This Row],[Fecha]])</f>
        <v>0</v>
      </c>
      <c r="D250" s="15">
        <f>IF(Tabla3[[#This Row],[Fecha]]&lt;53,"",IFERROR(((HOUR(Tabla3[[#This Row],[Horas]])*60+MINUTE(Tabla3[[#This Row],[Horas]]))/60)*$D$1,""))</f>
        <v>0</v>
      </c>
      <c r="E250" s="22" t="str">
        <f>IFERROR(Tabla3[[#This Row],[Cantidad producida]]/Tabla3[[#This Row],[Cantidad teórica]],"")</f>
        <v/>
      </c>
      <c r="F250" s="22">
        <f>IF(Tabla3[[#This Row],[Fecha]]&lt;53,"",IFERROR(Tabla3[[#This Row],[Horas]]/$F$1,""))</f>
        <v>0</v>
      </c>
      <c r="G250" s="15" t="str">
        <f>IF(Tabla3[[#This Row],[Disponibilidad]]="","",IF(Tabla3[[#This Row],[Disponibilidad]]&gt;1,"NO",""))</f>
        <v/>
      </c>
      <c r="H250" t="str">
        <f>IFERROR(IF(VLOOKUP(Tabla3[[#This Row],[Fecha]],Tabla1[[Día]:[P/LC/CF/CL]],5,FALSE)="LC","SI",""),"")</f>
        <v/>
      </c>
      <c r="I250" s="22" t="str">
        <f>IFERROR(Tabla3[[#This Row],[Disponibilidad]]*Tabla3[[#This Row],[Rendimiento]], IF(Tabla3[[#This Row],[LC]]="SI", 0, "No"))</f>
        <v>No</v>
      </c>
      <c r="J250" s="16" t="str">
        <f>IF(Tabla3[[#This Row],[OEE]]="No","",WEEKNUM(Tabla3[[#This Row],[Fecha]]))</f>
        <v/>
      </c>
      <c r="K250" s="27" t="str">
        <f>IFERROR(IF(Tabla3[[#This Row],[OEE]]&lt;&gt;"No",Tabla3[[#This Row],[OEE]]/Tabla3[[#This Row],[Disponibilidad]],""),0)</f>
        <v/>
      </c>
    </row>
    <row r="251" spans="1:11" x14ac:dyDescent="0.25">
      <c r="A251" s="2">
        <v>45932</v>
      </c>
      <c r="B251" s="5">
        <f>SUMIFS('paradas-disp'!F:F,'paradas-disp'!A:A,Tabla3[[#This Row],[Fecha]])</f>
        <v>0</v>
      </c>
      <c r="C251" s="15">
        <f>SUMIFS('paradas-disp'!I:I,'paradas-disp'!A:A,Tabla3[[#This Row],[Fecha]])</f>
        <v>0</v>
      </c>
      <c r="D251" s="15">
        <f>IF(Tabla3[[#This Row],[Fecha]]&lt;53,"",IFERROR(((HOUR(Tabla3[[#This Row],[Horas]])*60+MINUTE(Tabla3[[#This Row],[Horas]]))/60)*$D$1,""))</f>
        <v>0</v>
      </c>
      <c r="E251" s="22" t="str">
        <f>IFERROR(Tabla3[[#This Row],[Cantidad producida]]/Tabla3[[#This Row],[Cantidad teórica]],"")</f>
        <v/>
      </c>
      <c r="F251" s="22">
        <f>IF(Tabla3[[#This Row],[Fecha]]&lt;53,"",IFERROR(Tabla3[[#This Row],[Horas]]/$F$1,""))</f>
        <v>0</v>
      </c>
      <c r="G251" s="15" t="str">
        <f>IF(Tabla3[[#This Row],[Disponibilidad]]="","",IF(Tabla3[[#This Row],[Disponibilidad]]&gt;1,"NO",""))</f>
        <v/>
      </c>
      <c r="H251" t="str">
        <f>IFERROR(IF(VLOOKUP(Tabla3[[#This Row],[Fecha]],Tabla1[[Día]:[P/LC/CF/CL]],5,FALSE)="LC","SI",""),"")</f>
        <v/>
      </c>
      <c r="I251" s="22" t="str">
        <f>IFERROR(Tabla3[[#This Row],[Disponibilidad]]*Tabla3[[#This Row],[Rendimiento]], IF(Tabla3[[#This Row],[LC]]="SI", 0, "No"))</f>
        <v>No</v>
      </c>
      <c r="J251" s="16" t="str">
        <f>IF(Tabla3[[#This Row],[OEE]]="No","",WEEKNUM(Tabla3[[#This Row],[Fecha]]))</f>
        <v/>
      </c>
      <c r="K251" s="27" t="str">
        <f>IFERROR(IF(Tabla3[[#This Row],[OEE]]&lt;&gt;"No",Tabla3[[#This Row],[OEE]]/Tabla3[[#This Row],[Disponibilidad]],""),0)</f>
        <v/>
      </c>
    </row>
    <row r="252" spans="1:11" x14ac:dyDescent="0.25">
      <c r="A252" s="2">
        <v>45933</v>
      </c>
      <c r="B252" s="5">
        <f>SUMIFS('paradas-disp'!F:F,'paradas-disp'!A:A,Tabla3[[#This Row],[Fecha]])</f>
        <v>0</v>
      </c>
      <c r="C252" s="15">
        <f>SUMIFS('paradas-disp'!I:I,'paradas-disp'!A:A,Tabla3[[#This Row],[Fecha]])</f>
        <v>0</v>
      </c>
      <c r="D252" s="15">
        <f>IF(Tabla3[[#This Row],[Fecha]]&lt;53,"",IFERROR(((HOUR(Tabla3[[#This Row],[Horas]])*60+MINUTE(Tabla3[[#This Row],[Horas]]))/60)*$D$1,""))</f>
        <v>0</v>
      </c>
      <c r="E252" s="22" t="str">
        <f>IFERROR(Tabla3[[#This Row],[Cantidad producida]]/Tabla3[[#This Row],[Cantidad teórica]],"")</f>
        <v/>
      </c>
      <c r="F252" s="22">
        <f>IF(Tabla3[[#This Row],[Fecha]]&lt;53,"",IFERROR(Tabla3[[#This Row],[Horas]]/$F$1,""))</f>
        <v>0</v>
      </c>
      <c r="G252" s="15" t="str">
        <f>IF(Tabla3[[#This Row],[Disponibilidad]]="","",IF(Tabla3[[#This Row],[Disponibilidad]]&gt;1,"NO",""))</f>
        <v/>
      </c>
      <c r="H252" t="str">
        <f>IFERROR(IF(VLOOKUP(Tabla3[[#This Row],[Fecha]],Tabla1[[Día]:[P/LC/CF/CL]],5,FALSE)="LC","SI",""),"")</f>
        <v/>
      </c>
      <c r="I252" s="22" t="str">
        <f>IFERROR(Tabla3[[#This Row],[Disponibilidad]]*Tabla3[[#This Row],[Rendimiento]], IF(Tabla3[[#This Row],[LC]]="SI", 0, "No"))</f>
        <v>No</v>
      </c>
      <c r="J252" s="16" t="str">
        <f>IF(Tabla3[[#This Row],[OEE]]="No","",WEEKNUM(Tabla3[[#This Row],[Fecha]]))</f>
        <v/>
      </c>
      <c r="K252" s="27" t="str">
        <f>IFERROR(IF(Tabla3[[#This Row],[OEE]]&lt;&gt;"No",Tabla3[[#This Row],[OEE]]/Tabla3[[#This Row],[Disponibilidad]],""),0)</f>
        <v/>
      </c>
    </row>
    <row r="253" spans="1:11" x14ac:dyDescent="0.25">
      <c r="A253" s="2">
        <v>45934</v>
      </c>
      <c r="B253" s="5">
        <f>SUMIFS('paradas-disp'!F:F,'paradas-disp'!A:A,Tabla3[[#This Row],[Fecha]])</f>
        <v>0</v>
      </c>
      <c r="C253" s="15">
        <f>SUMIFS('paradas-disp'!I:I,'paradas-disp'!A:A,Tabla3[[#This Row],[Fecha]])</f>
        <v>0</v>
      </c>
      <c r="D253" s="15">
        <f>IF(Tabla3[[#This Row],[Fecha]]&lt;53,"",IFERROR(((HOUR(Tabla3[[#This Row],[Horas]])*60+MINUTE(Tabla3[[#This Row],[Horas]]))/60)*$D$1,""))</f>
        <v>0</v>
      </c>
      <c r="E253" s="22" t="str">
        <f>IFERROR(Tabla3[[#This Row],[Cantidad producida]]/Tabla3[[#This Row],[Cantidad teórica]],"")</f>
        <v/>
      </c>
      <c r="F253" s="22">
        <f>IF(Tabla3[[#This Row],[Fecha]]&lt;53,"",IFERROR(Tabla3[[#This Row],[Horas]]/$F$1,""))</f>
        <v>0</v>
      </c>
      <c r="G253" s="15" t="str">
        <f>IF(Tabla3[[#This Row],[Disponibilidad]]="","",IF(Tabla3[[#This Row],[Disponibilidad]]&gt;1,"NO",""))</f>
        <v/>
      </c>
      <c r="H253" t="str">
        <f>IFERROR(IF(VLOOKUP(Tabla3[[#This Row],[Fecha]],Tabla1[[Día]:[P/LC/CF/CL]],5,FALSE)="LC","SI",""),"")</f>
        <v/>
      </c>
      <c r="I253" s="22" t="str">
        <f>IFERROR(Tabla3[[#This Row],[Disponibilidad]]*Tabla3[[#This Row],[Rendimiento]], IF(Tabla3[[#This Row],[LC]]="SI", 0, "No"))</f>
        <v>No</v>
      </c>
      <c r="J253" s="16" t="str">
        <f>IF(Tabla3[[#This Row],[OEE]]="No","",WEEKNUM(Tabla3[[#This Row],[Fecha]]))</f>
        <v/>
      </c>
      <c r="K253" s="27" t="str">
        <f>IFERROR(IF(Tabla3[[#This Row],[OEE]]&lt;&gt;"No",Tabla3[[#This Row],[OEE]]/Tabla3[[#This Row],[Disponibilidad]],""),0)</f>
        <v/>
      </c>
    </row>
    <row r="254" spans="1:11" x14ac:dyDescent="0.25">
      <c r="A254" s="2">
        <v>45935</v>
      </c>
      <c r="B254" s="5">
        <f>SUMIFS('paradas-disp'!F:F,'paradas-disp'!A:A,Tabla3[[#This Row],[Fecha]])</f>
        <v>0</v>
      </c>
      <c r="C254" s="15">
        <f>SUMIFS('paradas-disp'!I:I,'paradas-disp'!A:A,Tabla3[[#This Row],[Fecha]])</f>
        <v>0</v>
      </c>
      <c r="D254" s="15">
        <f>IF(Tabla3[[#This Row],[Fecha]]&lt;53,"",IFERROR(((HOUR(Tabla3[[#This Row],[Horas]])*60+MINUTE(Tabla3[[#This Row],[Horas]]))/60)*$D$1,""))</f>
        <v>0</v>
      </c>
      <c r="E254" s="22" t="str">
        <f>IFERROR(Tabla3[[#This Row],[Cantidad producida]]/Tabla3[[#This Row],[Cantidad teórica]],"")</f>
        <v/>
      </c>
      <c r="F254" s="22">
        <f>IF(Tabla3[[#This Row],[Fecha]]&lt;53,"",IFERROR(Tabla3[[#This Row],[Horas]]/$F$1,""))</f>
        <v>0</v>
      </c>
      <c r="G254" s="15" t="str">
        <f>IF(Tabla3[[#This Row],[Disponibilidad]]="","",IF(Tabla3[[#This Row],[Disponibilidad]]&gt;1,"NO",""))</f>
        <v/>
      </c>
      <c r="H254" t="str">
        <f>IFERROR(IF(VLOOKUP(Tabla3[[#This Row],[Fecha]],Tabla1[[Día]:[P/LC/CF/CL]],5,FALSE)="LC","SI",""),"")</f>
        <v/>
      </c>
      <c r="I254" s="22" t="str">
        <f>IFERROR(Tabla3[[#This Row],[Disponibilidad]]*Tabla3[[#This Row],[Rendimiento]], IF(Tabla3[[#This Row],[LC]]="SI", 0, "No"))</f>
        <v>No</v>
      </c>
      <c r="J254" s="16" t="str">
        <f>IF(Tabla3[[#This Row],[OEE]]="No","",WEEKNUM(Tabla3[[#This Row],[Fecha]]))</f>
        <v/>
      </c>
      <c r="K254" s="27" t="str">
        <f>IFERROR(IF(Tabla3[[#This Row],[OEE]]&lt;&gt;"No",Tabla3[[#This Row],[OEE]]/Tabla3[[#This Row],[Disponibilidad]],""),0)</f>
        <v/>
      </c>
    </row>
    <row r="255" spans="1:11" x14ac:dyDescent="0.25">
      <c r="A255" s="2">
        <v>45936</v>
      </c>
      <c r="B255" s="5">
        <f>SUMIFS('paradas-disp'!F:F,'paradas-disp'!A:A,Tabla3[[#This Row],[Fecha]])</f>
        <v>0</v>
      </c>
      <c r="C255" s="15">
        <f>SUMIFS('paradas-disp'!I:I,'paradas-disp'!A:A,Tabla3[[#This Row],[Fecha]])</f>
        <v>0</v>
      </c>
      <c r="D255" s="15">
        <f>IF(Tabla3[[#This Row],[Fecha]]&lt;53,"",IFERROR(((HOUR(Tabla3[[#This Row],[Horas]])*60+MINUTE(Tabla3[[#This Row],[Horas]]))/60)*$D$1,""))</f>
        <v>0</v>
      </c>
      <c r="E255" s="22" t="str">
        <f>IFERROR(Tabla3[[#This Row],[Cantidad producida]]/Tabla3[[#This Row],[Cantidad teórica]],"")</f>
        <v/>
      </c>
      <c r="F255" s="22">
        <f>IF(Tabla3[[#This Row],[Fecha]]&lt;53,"",IFERROR(Tabla3[[#This Row],[Horas]]/$F$1,""))</f>
        <v>0</v>
      </c>
      <c r="G255" s="15" t="str">
        <f>IF(Tabla3[[#This Row],[Disponibilidad]]="","",IF(Tabla3[[#This Row],[Disponibilidad]]&gt;1,"NO",""))</f>
        <v/>
      </c>
      <c r="H255" t="str">
        <f>IFERROR(IF(VLOOKUP(Tabla3[[#This Row],[Fecha]],Tabla1[[Día]:[P/LC/CF/CL]],5,FALSE)="LC","SI",""),"")</f>
        <v/>
      </c>
      <c r="I255" s="22" t="str">
        <f>IFERROR(Tabla3[[#This Row],[Disponibilidad]]*Tabla3[[#This Row],[Rendimiento]], IF(Tabla3[[#This Row],[LC]]="SI", 0, "No"))</f>
        <v>No</v>
      </c>
      <c r="J255" s="16" t="str">
        <f>IF(Tabla3[[#This Row],[OEE]]="No","",WEEKNUM(Tabla3[[#This Row],[Fecha]]))</f>
        <v/>
      </c>
      <c r="K255" s="27" t="str">
        <f>IFERROR(IF(Tabla3[[#This Row],[OEE]]&lt;&gt;"No",Tabla3[[#This Row],[OEE]]/Tabla3[[#This Row],[Disponibilidad]],""),0)</f>
        <v/>
      </c>
    </row>
    <row r="256" spans="1:11" x14ac:dyDescent="0.25">
      <c r="A256" s="2">
        <v>45937</v>
      </c>
      <c r="B256" s="5">
        <f>SUMIFS('paradas-disp'!F:F,'paradas-disp'!A:A,Tabla3[[#This Row],[Fecha]])</f>
        <v>0</v>
      </c>
      <c r="C256" s="15">
        <f>SUMIFS('paradas-disp'!I:I,'paradas-disp'!A:A,Tabla3[[#This Row],[Fecha]])</f>
        <v>0</v>
      </c>
      <c r="D256" s="15">
        <f>IF(Tabla3[[#This Row],[Fecha]]&lt;53,"",IFERROR(((HOUR(Tabla3[[#This Row],[Horas]])*60+MINUTE(Tabla3[[#This Row],[Horas]]))/60)*$D$1,""))</f>
        <v>0</v>
      </c>
      <c r="E256" s="22" t="str">
        <f>IFERROR(Tabla3[[#This Row],[Cantidad producida]]/Tabla3[[#This Row],[Cantidad teórica]],"")</f>
        <v/>
      </c>
      <c r="F256" s="22">
        <f>IF(Tabla3[[#This Row],[Fecha]]&lt;53,"",IFERROR(Tabla3[[#This Row],[Horas]]/$F$1,""))</f>
        <v>0</v>
      </c>
      <c r="G256" s="15" t="str">
        <f>IF(Tabla3[[#This Row],[Disponibilidad]]="","",IF(Tabla3[[#This Row],[Disponibilidad]]&gt;1,"NO",""))</f>
        <v/>
      </c>
      <c r="H256" t="str">
        <f>IFERROR(IF(VLOOKUP(Tabla3[[#This Row],[Fecha]],Tabla1[[Día]:[P/LC/CF/CL]],5,FALSE)="LC","SI",""),"")</f>
        <v/>
      </c>
      <c r="I256" s="22" t="str">
        <f>IFERROR(Tabla3[[#This Row],[Disponibilidad]]*Tabla3[[#This Row],[Rendimiento]], IF(Tabla3[[#This Row],[LC]]="SI", 0, "No"))</f>
        <v>No</v>
      </c>
      <c r="J256" s="16" t="str">
        <f>IF(Tabla3[[#This Row],[OEE]]="No","",WEEKNUM(Tabla3[[#This Row],[Fecha]]))</f>
        <v/>
      </c>
      <c r="K256" s="27" t="str">
        <f>IFERROR(IF(Tabla3[[#This Row],[OEE]]&lt;&gt;"No",Tabla3[[#This Row],[OEE]]/Tabla3[[#This Row],[Disponibilidad]],""),0)</f>
        <v/>
      </c>
    </row>
    <row r="257" spans="1:11" x14ac:dyDescent="0.25">
      <c r="A257" s="2">
        <v>45938</v>
      </c>
      <c r="B257" s="5">
        <f>SUMIFS('paradas-disp'!F:F,'paradas-disp'!A:A,Tabla3[[#This Row],[Fecha]])</f>
        <v>0</v>
      </c>
      <c r="C257" s="15">
        <f>SUMIFS('paradas-disp'!I:I,'paradas-disp'!A:A,Tabla3[[#This Row],[Fecha]])</f>
        <v>0</v>
      </c>
      <c r="D257" s="15">
        <f>IF(Tabla3[[#This Row],[Fecha]]&lt;53,"",IFERROR(((HOUR(Tabla3[[#This Row],[Horas]])*60+MINUTE(Tabla3[[#This Row],[Horas]]))/60)*$D$1,""))</f>
        <v>0</v>
      </c>
      <c r="E257" s="22" t="str">
        <f>IFERROR(Tabla3[[#This Row],[Cantidad producida]]/Tabla3[[#This Row],[Cantidad teórica]],"")</f>
        <v/>
      </c>
      <c r="F257" s="22">
        <f>IF(Tabla3[[#This Row],[Fecha]]&lt;53,"",IFERROR(Tabla3[[#This Row],[Horas]]/$F$1,""))</f>
        <v>0</v>
      </c>
      <c r="G257" s="15" t="str">
        <f>IF(Tabla3[[#This Row],[Disponibilidad]]="","",IF(Tabla3[[#This Row],[Disponibilidad]]&gt;1,"NO",""))</f>
        <v/>
      </c>
      <c r="H257" t="str">
        <f>IFERROR(IF(VLOOKUP(Tabla3[[#This Row],[Fecha]],Tabla1[[Día]:[P/LC/CF/CL]],5,FALSE)="LC","SI",""),"")</f>
        <v/>
      </c>
      <c r="I257" s="22" t="str">
        <f>IFERROR(Tabla3[[#This Row],[Disponibilidad]]*Tabla3[[#This Row],[Rendimiento]], IF(Tabla3[[#This Row],[LC]]="SI", 0, "No"))</f>
        <v>No</v>
      </c>
      <c r="J257" s="16" t="str">
        <f>IF(Tabla3[[#This Row],[OEE]]="No","",WEEKNUM(Tabla3[[#This Row],[Fecha]]))</f>
        <v/>
      </c>
      <c r="K257" s="27" t="str">
        <f>IFERROR(IF(Tabla3[[#This Row],[OEE]]&lt;&gt;"No",Tabla3[[#This Row],[OEE]]/Tabla3[[#This Row],[Disponibilidad]],""),0)</f>
        <v/>
      </c>
    </row>
    <row r="258" spans="1:11" x14ac:dyDescent="0.25">
      <c r="A258" s="2">
        <v>45939</v>
      </c>
      <c r="B258" s="5">
        <f>SUMIFS('paradas-disp'!F:F,'paradas-disp'!A:A,Tabla3[[#This Row],[Fecha]])</f>
        <v>0</v>
      </c>
      <c r="C258" s="15">
        <f>SUMIFS('paradas-disp'!I:I,'paradas-disp'!A:A,Tabla3[[#This Row],[Fecha]])</f>
        <v>0</v>
      </c>
      <c r="D258" s="15">
        <f>IF(Tabla3[[#This Row],[Fecha]]&lt;53,"",IFERROR(((HOUR(Tabla3[[#This Row],[Horas]])*60+MINUTE(Tabla3[[#This Row],[Horas]]))/60)*$D$1,""))</f>
        <v>0</v>
      </c>
      <c r="E258" s="22" t="str">
        <f>IFERROR(Tabla3[[#This Row],[Cantidad producida]]/Tabla3[[#This Row],[Cantidad teórica]],"")</f>
        <v/>
      </c>
      <c r="F258" s="22">
        <f>IF(Tabla3[[#This Row],[Fecha]]&lt;53,"",IFERROR(Tabla3[[#This Row],[Horas]]/$F$1,""))</f>
        <v>0</v>
      </c>
      <c r="G258" s="15" t="str">
        <f>IF(Tabla3[[#This Row],[Disponibilidad]]="","",IF(Tabla3[[#This Row],[Disponibilidad]]&gt;1,"NO",""))</f>
        <v/>
      </c>
      <c r="H258" t="str">
        <f>IFERROR(IF(VLOOKUP(Tabla3[[#This Row],[Fecha]],Tabla1[[Día]:[P/LC/CF/CL]],5,FALSE)="LC","SI",""),"")</f>
        <v/>
      </c>
      <c r="I258" s="22" t="str">
        <f>IFERROR(Tabla3[[#This Row],[Disponibilidad]]*Tabla3[[#This Row],[Rendimiento]], IF(Tabla3[[#This Row],[LC]]="SI", 0, "No"))</f>
        <v>No</v>
      </c>
      <c r="J258" s="16" t="str">
        <f>IF(Tabla3[[#This Row],[OEE]]="No","",WEEKNUM(Tabla3[[#This Row],[Fecha]]))</f>
        <v/>
      </c>
      <c r="K258" s="27" t="str">
        <f>IFERROR(IF(Tabla3[[#This Row],[OEE]]&lt;&gt;"No",Tabla3[[#This Row],[OEE]]/Tabla3[[#This Row],[Disponibilidad]],""),0)</f>
        <v/>
      </c>
    </row>
    <row r="259" spans="1:11" x14ac:dyDescent="0.25">
      <c r="A259" s="2">
        <v>45940</v>
      </c>
      <c r="B259" s="5">
        <f>SUMIFS('paradas-disp'!F:F,'paradas-disp'!A:A,Tabla3[[#This Row],[Fecha]])</f>
        <v>0</v>
      </c>
      <c r="C259" s="15">
        <f>SUMIFS('paradas-disp'!I:I,'paradas-disp'!A:A,Tabla3[[#This Row],[Fecha]])</f>
        <v>0</v>
      </c>
      <c r="D259" s="15">
        <f>IF(Tabla3[[#This Row],[Fecha]]&lt;53,"",IFERROR(((HOUR(Tabla3[[#This Row],[Horas]])*60+MINUTE(Tabla3[[#This Row],[Horas]]))/60)*$D$1,""))</f>
        <v>0</v>
      </c>
      <c r="E259" s="22" t="str">
        <f>IFERROR(Tabla3[[#This Row],[Cantidad producida]]/Tabla3[[#This Row],[Cantidad teórica]],"")</f>
        <v/>
      </c>
      <c r="F259" s="22">
        <f>IF(Tabla3[[#This Row],[Fecha]]&lt;53,"",IFERROR(Tabla3[[#This Row],[Horas]]/$F$1,""))</f>
        <v>0</v>
      </c>
      <c r="G259" s="15" t="str">
        <f>IF(Tabla3[[#This Row],[Disponibilidad]]="","",IF(Tabla3[[#This Row],[Disponibilidad]]&gt;1,"NO",""))</f>
        <v/>
      </c>
      <c r="H259" t="str">
        <f>IFERROR(IF(VLOOKUP(Tabla3[[#This Row],[Fecha]],Tabla1[[Día]:[P/LC/CF/CL]],5,FALSE)="LC","SI",""),"")</f>
        <v/>
      </c>
      <c r="I259" s="22" t="str">
        <f>IFERROR(Tabla3[[#This Row],[Disponibilidad]]*Tabla3[[#This Row],[Rendimiento]], IF(Tabla3[[#This Row],[LC]]="SI", 0, "No"))</f>
        <v>No</v>
      </c>
      <c r="J259" s="16" t="str">
        <f>IF(Tabla3[[#This Row],[OEE]]="No","",WEEKNUM(Tabla3[[#This Row],[Fecha]]))</f>
        <v/>
      </c>
      <c r="K259" s="27" t="str">
        <f>IFERROR(IF(Tabla3[[#This Row],[OEE]]&lt;&gt;"No",Tabla3[[#This Row],[OEE]]/Tabla3[[#This Row],[Disponibilidad]],""),0)</f>
        <v/>
      </c>
    </row>
    <row r="260" spans="1:11" x14ac:dyDescent="0.25">
      <c r="A260" s="2">
        <v>45941</v>
      </c>
      <c r="B260" s="5">
        <f>SUMIFS('paradas-disp'!F:F,'paradas-disp'!A:A,Tabla3[[#This Row],[Fecha]])</f>
        <v>0</v>
      </c>
      <c r="C260" s="15">
        <f>SUMIFS('paradas-disp'!I:I,'paradas-disp'!A:A,Tabla3[[#This Row],[Fecha]])</f>
        <v>0</v>
      </c>
      <c r="D260" s="15">
        <f>IF(Tabla3[[#This Row],[Fecha]]&lt;53,"",IFERROR(((HOUR(Tabla3[[#This Row],[Horas]])*60+MINUTE(Tabla3[[#This Row],[Horas]]))/60)*$D$1,""))</f>
        <v>0</v>
      </c>
      <c r="E260" s="22" t="str">
        <f>IFERROR(Tabla3[[#This Row],[Cantidad producida]]/Tabla3[[#This Row],[Cantidad teórica]],"")</f>
        <v/>
      </c>
      <c r="F260" s="22">
        <f>IF(Tabla3[[#This Row],[Fecha]]&lt;53,"",IFERROR(Tabla3[[#This Row],[Horas]]/$F$1,""))</f>
        <v>0</v>
      </c>
      <c r="G260" s="15" t="str">
        <f>IF(Tabla3[[#This Row],[Disponibilidad]]="","",IF(Tabla3[[#This Row],[Disponibilidad]]&gt;1,"NO",""))</f>
        <v/>
      </c>
      <c r="H260" t="str">
        <f>IFERROR(IF(VLOOKUP(Tabla3[[#This Row],[Fecha]],Tabla1[[Día]:[P/LC/CF/CL]],5,FALSE)="LC","SI",""),"")</f>
        <v/>
      </c>
      <c r="I260" s="22" t="str">
        <f>IFERROR(Tabla3[[#This Row],[Disponibilidad]]*Tabla3[[#This Row],[Rendimiento]], IF(Tabla3[[#This Row],[LC]]="SI", 0, "No"))</f>
        <v>No</v>
      </c>
      <c r="J260" s="16" t="str">
        <f>IF(Tabla3[[#This Row],[OEE]]="No","",WEEKNUM(Tabla3[[#This Row],[Fecha]]))</f>
        <v/>
      </c>
      <c r="K260" s="27" t="str">
        <f>IFERROR(IF(Tabla3[[#This Row],[OEE]]&lt;&gt;"No",Tabla3[[#This Row],[OEE]]/Tabla3[[#This Row],[Disponibilidad]],""),0)</f>
        <v/>
      </c>
    </row>
    <row r="261" spans="1:11" x14ac:dyDescent="0.25">
      <c r="A261" s="2">
        <v>45942</v>
      </c>
      <c r="B261" s="5">
        <f>SUMIFS('paradas-disp'!F:F,'paradas-disp'!A:A,Tabla3[[#This Row],[Fecha]])</f>
        <v>0</v>
      </c>
      <c r="C261" s="15">
        <f>SUMIFS('paradas-disp'!I:I,'paradas-disp'!A:A,Tabla3[[#This Row],[Fecha]])</f>
        <v>0</v>
      </c>
      <c r="D261" s="15">
        <f>IF(Tabla3[[#This Row],[Fecha]]&lt;53,"",IFERROR(((HOUR(Tabla3[[#This Row],[Horas]])*60+MINUTE(Tabla3[[#This Row],[Horas]]))/60)*$D$1,""))</f>
        <v>0</v>
      </c>
      <c r="E261" s="22" t="str">
        <f>IFERROR(Tabla3[[#This Row],[Cantidad producida]]/Tabla3[[#This Row],[Cantidad teórica]],"")</f>
        <v/>
      </c>
      <c r="F261" s="22">
        <f>IF(Tabla3[[#This Row],[Fecha]]&lt;53,"",IFERROR(Tabla3[[#This Row],[Horas]]/$F$1,""))</f>
        <v>0</v>
      </c>
      <c r="G261" s="15" t="str">
        <f>IF(Tabla3[[#This Row],[Disponibilidad]]="","",IF(Tabla3[[#This Row],[Disponibilidad]]&gt;1,"NO",""))</f>
        <v/>
      </c>
      <c r="H261" t="str">
        <f>IFERROR(IF(VLOOKUP(Tabla3[[#This Row],[Fecha]],Tabla1[[Día]:[P/LC/CF/CL]],5,FALSE)="LC","SI",""),"")</f>
        <v/>
      </c>
      <c r="I261" s="22" t="str">
        <f>IFERROR(Tabla3[[#This Row],[Disponibilidad]]*Tabla3[[#This Row],[Rendimiento]], IF(Tabla3[[#This Row],[LC]]="SI", 0, "No"))</f>
        <v>No</v>
      </c>
      <c r="J261" s="16" t="str">
        <f>IF(Tabla3[[#This Row],[OEE]]="No","",WEEKNUM(Tabla3[[#This Row],[Fecha]]))</f>
        <v/>
      </c>
      <c r="K261" s="27" t="str">
        <f>IFERROR(IF(Tabla3[[#This Row],[OEE]]&lt;&gt;"No",Tabla3[[#This Row],[OEE]]/Tabla3[[#This Row],[Disponibilidad]],""),0)</f>
        <v/>
      </c>
    </row>
    <row r="262" spans="1:11" x14ac:dyDescent="0.25">
      <c r="A262" s="2">
        <v>45943</v>
      </c>
      <c r="B262" s="5">
        <f>SUMIFS('paradas-disp'!F:F,'paradas-disp'!A:A,Tabla3[[#This Row],[Fecha]])</f>
        <v>0</v>
      </c>
      <c r="C262" s="15">
        <f>SUMIFS('paradas-disp'!I:I,'paradas-disp'!A:A,Tabla3[[#This Row],[Fecha]])</f>
        <v>0</v>
      </c>
      <c r="D262" s="15">
        <f>IF(Tabla3[[#This Row],[Fecha]]&lt;53,"",IFERROR(((HOUR(Tabla3[[#This Row],[Horas]])*60+MINUTE(Tabla3[[#This Row],[Horas]]))/60)*$D$1,""))</f>
        <v>0</v>
      </c>
      <c r="E262" s="22" t="str">
        <f>IFERROR(Tabla3[[#This Row],[Cantidad producida]]/Tabla3[[#This Row],[Cantidad teórica]],"")</f>
        <v/>
      </c>
      <c r="F262" s="22">
        <f>IF(Tabla3[[#This Row],[Fecha]]&lt;53,"",IFERROR(Tabla3[[#This Row],[Horas]]/$F$1,""))</f>
        <v>0</v>
      </c>
      <c r="G262" s="15" t="str">
        <f>IF(Tabla3[[#This Row],[Disponibilidad]]="","",IF(Tabla3[[#This Row],[Disponibilidad]]&gt;1,"NO",""))</f>
        <v/>
      </c>
      <c r="H262" t="str">
        <f>IFERROR(IF(VLOOKUP(Tabla3[[#This Row],[Fecha]],Tabla1[[Día]:[P/LC/CF/CL]],5,FALSE)="LC","SI",""),"")</f>
        <v/>
      </c>
      <c r="I262" s="22" t="str">
        <f>IFERROR(Tabla3[[#This Row],[Disponibilidad]]*Tabla3[[#This Row],[Rendimiento]], IF(Tabla3[[#This Row],[LC]]="SI", 0, "No"))</f>
        <v>No</v>
      </c>
      <c r="J262" s="16" t="str">
        <f>IF(Tabla3[[#This Row],[OEE]]="No","",WEEKNUM(Tabla3[[#This Row],[Fecha]]))</f>
        <v/>
      </c>
      <c r="K262" s="27" t="str">
        <f>IFERROR(IF(Tabla3[[#This Row],[OEE]]&lt;&gt;"No",Tabla3[[#This Row],[OEE]]/Tabla3[[#This Row],[Disponibilidad]],""),0)</f>
        <v/>
      </c>
    </row>
    <row r="263" spans="1:11" x14ac:dyDescent="0.25">
      <c r="A263" s="2">
        <v>45944</v>
      </c>
      <c r="B263" s="5">
        <f>SUMIFS('paradas-disp'!F:F,'paradas-disp'!A:A,Tabla3[[#This Row],[Fecha]])</f>
        <v>0</v>
      </c>
      <c r="C263" s="15">
        <f>SUMIFS('paradas-disp'!I:I,'paradas-disp'!A:A,Tabla3[[#This Row],[Fecha]])</f>
        <v>0</v>
      </c>
      <c r="D263" s="15">
        <f>IF(Tabla3[[#This Row],[Fecha]]&lt;53,"",IFERROR(((HOUR(Tabla3[[#This Row],[Horas]])*60+MINUTE(Tabla3[[#This Row],[Horas]]))/60)*$D$1,""))</f>
        <v>0</v>
      </c>
      <c r="E263" s="22" t="str">
        <f>IFERROR(Tabla3[[#This Row],[Cantidad producida]]/Tabla3[[#This Row],[Cantidad teórica]],"")</f>
        <v/>
      </c>
      <c r="F263" s="22">
        <f>IF(Tabla3[[#This Row],[Fecha]]&lt;53,"",IFERROR(Tabla3[[#This Row],[Horas]]/$F$1,""))</f>
        <v>0</v>
      </c>
      <c r="G263" s="15" t="str">
        <f>IF(Tabla3[[#This Row],[Disponibilidad]]="","",IF(Tabla3[[#This Row],[Disponibilidad]]&gt;1,"NO",""))</f>
        <v/>
      </c>
      <c r="H263" t="str">
        <f>IFERROR(IF(VLOOKUP(Tabla3[[#This Row],[Fecha]],Tabla1[[Día]:[P/LC/CF/CL]],5,FALSE)="LC","SI",""),"")</f>
        <v/>
      </c>
      <c r="I263" s="22" t="str">
        <f>IFERROR(Tabla3[[#This Row],[Disponibilidad]]*Tabla3[[#This Row],[Rendimiento]], IF(Tabla3[[#This Row],[LC]]="SI", 0, "No"))</f>
        <v>No</v>
      </c>
      <c r="J263" s="16" t="str">
        <f>IF(Tabla3[[#This Row],[OEE]]="No","",WEEKNUM(Tabla3[[#This Row],[Fecha]]))</f>
        <v/>
      </c>
      <c r="K263" s="27" t="str">
        <f>IFERROR(IF(Tabla3[[#This Row],[OEE]]&lt;&gt;"No",Tabla3[[#This Row],[OEE]]/Tabla3[[#This Row],[Disponibilidad]],""),0)</f>
        <v/>
      </c>
    </row>
    <row r="264" spans="1:11" x14ac:dyDescent="0.25">
      <c r="A264" s="2">
        <v>45945</v>
      </c>
      <c r="B264" s="5">
        <f>SUMIFS('paradas-disp'!F:F,'paradas-disp'!A:A,Tabla3[[#This Row],[Fecha]])</f>
        <v>0</v>
      </c>
      <c r="C264" s="15">
        <f>SUMIFS('paradas-disp'!I:I,'paradas-disp'!A:A,Tabla3[[#This Row],[Fecha]])</f>
        <v>0</v>
      </c>
      <c r="D264" s="15">
        <f>IF(Tabla3[[#This Row],[Fecha]]&lt;53,"",IFERROR(((HOUR(Tabla3[[#This Row],[Horas]])*60+MINUTE(Tabla3[[#This Row],[Horas]]))/60)*$D$1,""))</f>
        <v>0</v>
      </c>
      <c r="E264" s="22" t="str">
        <f>IFERROR(Tabla3[[#This Row],[Cantidad producida]]/Tabla3[[#This Row],[Cantidad teórica]],"")</f>
        <v/>
      </c>
      <c r="F264" s="22">
        <f>IF(Tabla3[[#This Row],[Fecha]]&lt;53,"",IFERROR(Tabla3[[#This Row],[Horas]]/$F$1,""))</f>
        <v>0</v>
      </c>
      <c r="G264" s="15" t="str">
        <f>IF(Tabla3[[#This Row],[Disponibilidad]]="","",IF(Tabla3[[#This Row],[Disponibilidad]]&gt;1,"NO",""))</f>
        <v/>
      </c>
      <c r="H264" t="str">
        <f>IFERROR(IF(VLOOKUP(Tabla3[[#This Row],[Fecha]],Tabla1[[Día]:[P/LC/CF/CL]],5,FALSE)="LC","SI",""),"")</f>
        <v/>
      </c>
      <c r="I264" s="22" t="str">
        <f>IFERROR(Tabla3[[#This Row],[Disponibilidad]]*Tabla3[[#This Row],[Rendimiento]], IF(Tabla3[[#This Row],[LC]]="SI", 0, "No"))</f>
        <v>No</v>
      </c>
      <c r="J264" s="16" t="str">
        <f>IF(Tabla3[[#This Row],[OEE]]="No","",WEEKNUM(Tabla3[[#This Row],[Fecha]]))</f>
        <v/>
      </c>
      <c r="K264" s="27" t="str">
        <f>IFERROR(IF(Tabla3[[#This Row],[OEE]]&lt;&gt;"No",Tabla3[[#This Row],[OEE]]/Tabla3[[#This Row],[Disponibilidad]],""),0)</f>
        <v/>
      </c>
    </row>
    <row r="265" spans="1:11" x14ac:dyDescent="0.25">
      <c r="A265" s="2">
        <v>45946</v>
      </c>
      <c r="B265" s="5">
        <f>SUMIFS('paradas-disp'!F:F,'paradas-disp'!A:A,Tabla3[[#This Row],[Fecha]])</f>
        <v>0</v>
      </c>
      <c r="C265" s="15">
        <f>SUMIFS('paradas-disp'!I:I,'paradas-disp'!A:A,Tabla3[[#This Row],[Fecha]])</f>
        <v>0</v>
      </c>
      <c r="D265" s="15">
        <f>IF(Tabla3[[#This Row],[Fecha]]&lt;53,"",IFERROR(((HOUR(Tabla3[[#This Row],[Horas]])*60+MINUTE(Tabla3[[#This Row],[Horas]]))/60)*$D$1,""))</f>
        <v>0</v>
      </c>
      <c r="E265" s="22" t="str">
        <f>IFERROR(Tabla3[[#This Row],[Cantidad producida]]/Tabla3[[#This Row],[Cantidad teórica]],"")</f>
        <v/>
      </c>
      <c r="F265" s="22">
        <f>IF(Tabla3[[#This Row],[Fecha]]&lt;53,"",IFERROR(Tabla3[[#This Row],[Horas]]/$F$1,""))</f>
        <v>0</v>
      </c>
      <c r="G265" s="15" t="str">
        <f>IF(Tabla3[[#This Row],[Disponibilidad]]="","",IF(Tabla3[[#This Row],[Disponibilidad]]&gt;1,"NO",""))</f>
        <v/>
      </c>
      <c r="H265" t="str">
        <f>IFERROR(IF(VLOOKUP(Tabla3[[#This Row],[Fecha]],Tabla1[[Día]:[P/LC/CF/CL]],5,FALSE)="LC","SI",""),"")</f>
        <v/>
      </c>
      <c r="I265" s="22" t="str">
        <f>IFERROR(Tabla3[[#This Row],[Disponibilidad]]*Tabla3[[#This Row],[Rendimiento]], IF(Tabla3[[#This Row],[LC]]="SI", 0, "No"))</f>
        <v>No</v>
      </c>
      <c r="J265" s="16" t="str">
        <f>IF(Tabla3[[#This Row],[OEE]]="No","",WEEKNUM(Tabla3[[#This Row],[Fecha]]))</f>
        <v/>
      </c>
      <c r="K265" s="27" t="str">
        <f>IFERROR(IF(Tabla3[[#This Row],[OEE]]&lt;&gt;"No",Tabla3[[#This Row],[OEE]]/Tabla3[[#This Row],[Disponibilidad]],""),0)</f>
        <v/>
      </c>
    </row>
    <row r="266" spans="1:11" x14ac:dyDescent="0.25">
      <c r="A266" s="2">
        <v>45947</v>
      </c>
      <c r="B266" s="5">
        <f>SUMIFS('paradas-disp'!F:F,'paradas-disp'!A:A,Tabla3[[#This Row],[Fecha]])</f>
        <v>0</v>
      </c>
      <c r="C266" s="15">
        <f>SUMIFS('paradas-disp'!I:I,'paradas-disp'!A:A,Tabla3[[#This Row],[Fecha]])</f>
        <v>0</v>
      </c>
      <c r="D266" s="15">
        <f>IF(Tabla3[[#This Row],[Fecha]]&lt;53,"",IFERROR(((HOUR(Tabla3[[#This Row],[Horas]])*60+MINUTE(Tabla3[[#This Row],[Horas]]))/60)*$D$1,""))</f>
        <v>0</v>
      </c>
      <c r="E266" s="22" t="str">
        <f>IFERROR(Tabla3[[#This Row],[Cantidad producida]]/Tabla3[[#This Row],[Cantidad teórica]],"")</f>
        <v/>
      </c>
      <c r="F266" s="22">
        <f>IF(Tabla3[[#This Row],[Fecha]]&lt;53,"",IFERROR(Tabla3[[#This Row],[Horas]]/$F$1,""))</f>
        <v>0</v>
      </c>
      <c r="G266" s="15" t="str">
        <f>IF(Tabla3[[#This Row],[Disponibilidad]]="","",IF(Tabla3[[#This Row],[Disponibilidad]]&gt;1,"NO",""))</f>
        <v/>
      </c>
      <c r="H266" t="str">
        <f>IFERROR(IF(VLOOKUP(Tabla3[[#This Row],[Fecha]],Tabla1[[Día]:[P/LC/CF/CL]],5,FALSE)="LC","SI",""),"")</f>
        <v/>
      </c>
      <c r="I266" s="22" t="str">
        <f>IFERROR(Tabla3[[#This Row],[Disponibilidad]]*Tabla3[[#This Row],[Rendimiento]], IF(Tabla3[[#This Row],[LC]]="SI", 0, "No"))</f>
        <v>No</v>
      </c>
      <c r="J266" s="16" t="str">
        <f>IF(Tabla3[[#This Row],[OEE]]="No","",WEEKNUM(Tabla3[[#This Row],[Fecha]]))</f>
        <v/>
      </c>
      <c r="K266" s="27" t="str">
        <f>IFERROR(IF(Tabla3[[#This Row],[OEE]]&lt;&gt;"No",Tabla3[[#This Row],[OEE]]/Tabla3[[#This Row],[Disponibilidad]],""),0)</f>
        <v/>
      </c>
    </row>
    <row r="267" spans="1:11" x14ac:dyDescent="0.25">
      <c r="A267" s="2">
        <v>45948</v>
      </c>
      <c r="B267" s="5">
        <f>SUMIFS('paradas-disp'!F:F,'paradas-disp'!A:A,Tabla3[[#This Row],[Fecha]])</f>
        <v>0</v>
      </c>
      <c r="C267" s="15">
        <f>SUMIFS('paradas-disp'!I:I,'paradas-disp'!A:A,Tabla3[[#This Row],[Fecha]])</f>
        <v>0</v>
      </c>
      <c r="D267" s="15">
        <f>IF(Tabla3[[#This Row],[Fecha]]&lt;53,"",IFERROR(((HOUR(Tabla3[[#This Row],[Horas]])*60+MINUTE(Tabla3[[#This Row],[Horas]]))/60)*$D$1,""))</f>
        <v>0</v>
      </c>
      <c r="E267" s="22" t="str">
        <f>IFERROR(Tabla3[[#This Row],[Cantidad producida]]/Tabla3[[#This Row],[Cantidad teórica]],"")</f>
        <v/>
      </c>
      <c r="F267" s="22">
        <f>IF(Tabla3[[#This Row],[Fecha]]&lt;53,"",IFERROR(Tabla3[[#This Row],[Horas]]/$F$1,""))</f>
        <v>0</v>
      </c>
      <c r="G267" s="15" t="str">
        <f>IF(Tabla3[[#This Row],[Disponibilidad]]="","",IF(Tabla3[[#This Row],[Disponibilidad]]&gt;1,"NO",""))</f>
        <v/>
      </c>
      <c r="H267" t="str">
        <f>IFERROR(IF(VLOOKUP(Tabla3[[#This Row],[Fecha]],Tabla1[[Día]:[P/LC/CF/CL]],5,FALSE)="LC","SI",""),"")</f>
        <v/>
      </c>
      <c r="I267" s="22" t="str">
        <f>IFERROR(Tabla3[[#This Row],[Disponibilidad]]*Tabla3[[#This Row],[Rendimiento]], IF(Tabla3[[#This Row],[LC]]="SI", 0, "No"))</f>
        <v>No</v>
      </c>
      <c r="J267" s="16" t="str">
        <f>IF(Tabla3[[#This Row],[OEE]]="No","",WEEKNUM(Tabla3[[#This Row],[Fecha]]))</f>
        <v/>
      </c>
      <c r="K267" s="27" t="str">
        <f>IFERROR(IF(Tabla3[[#This Row],[OEE]]&lt;&gt;"No",Tabla3[[#This Row],[OEE]]/Tabla3[[#This Row],[Disponibilidad]],""),0)</f>
        <v/>
      </c>
    </row>
    <row r="268" spans="1:11" x14ac:dyDescent="0.25">
      <c r="A268" s="2">
        <v>45949</v>
      </c>
      <c r="B268" s="5">
        <f>SUMIFS('paradas-disp'!F:F,'paradas-disp'!A:A,Tabla3[[#This Row],[Fecha]])</f>
        <v>0</v>
      </c>
      <c r="C268" s="15">
        <f>SUMIFS('paradas-disp'!I:I,'paradas-disp'!A:A,Tabla3[[#This Row],[Fecha]])</f>
        <v>0</v>
      </c>
      <c r="D268" s="15">
        <f>IF(Tabla3[[#This Row],[Fecha]]&lt;53,"",IFERROR(((HOUR(Tabla3[[#This Row],[Horas]])*60+MINUTE(Tabla3[[#This Row],[Horas]]))/60)*$D$1,""))</f>
        <v>0</v>
      </c>
      <c r="E268" s="22" t="str">
        <f>IFERROR(Tabla3[[#This Row],[Cantidad producida]]/Tabla3[[#This Row],[Cantidad teórica]],"")</f>
        <v/>
      </c>
      <c r="F268" s="22">
        <f>IF(Tabla3[[#This Row],[Fecha]]&lt;53,"",IFERROR(Tabla3[[#This Row],[Horas]]/$F$1,""))</f>
        <v>0</v>
      </c>
      <c r="G268" s="15" t="str">
        <f>IF(Tabla3[[#This Row],[Disponibilidad]]="","",IF(Tabla3[[#This Row],[Disponibilidad]]&gt;1,"NO",""))</f>
        <v/>
      </c>
      <c r="H268" t="str">
        <f>IFERROR(IF(VLOOKUP(Tabla3[[#This Row],[Fecha]],Tabla1[[Día]:[P/LC/CF/CL]],5,FALSE)="LC","SI",""),"")</f>
        <v/>
      </c>
      <c r="I268" s="22" t="str">
        <f>IFERROR(Tabla3[[#This Row],[Disponibilidad]]*Tabla3[[#This Row],[Rendimiento]], IF(Tabla3[[#This Row],[LC]]="SI", 0, "No"))</f>
        <v>No</v>
      </c>
      <c r="J268" s="16" t="str">
        <f>IF(Tabla3[[#This Row],[OEE]]="No","",WEEKNUM(Tabla3[[#This Row],[Fecha]]))</f>
        <v/>
      </c>
      <c r="K268" s="27" t="str">
        <f>IFERROR(IF(Tabla3[[#This Row],[OEE]]&lt;&gt;"No",Tabla3[[#This Row],[OEE]]/Tabla3[[#This Row],[Disponibilidad]],""),0)</f>
        <v/>
      </c>
    </row>
    <row r="269" spans="1:11" x14ac:dyDescent="0.25">
      <c r="A269" s="2">
        <v>45950</v>
      </c>
      <c r="B269" s="5">
        <f>SUMIFS('paradas-disp'!F:F,'paradas-disp'!A:A,Tabla3[[#This Row],[Fecha]])</f>
        <v>0</v>
      </c>
      <c r="C269" s="15">
        <f>SUMIFS('paradas-disp'!I:I,'paradas-disp'!A:A,Tabla3[[#This Row],[Fecha]])</f>
        <v>0</v>
      </c>
      <c r="D269" s="15">
        <f>IF(Tabla3[[#This Row],[Fecha]]&lt;53,"",IFERROR(((HOUR(Tabla3[[#This Row],[Horas]])*60+MINUTE(Tabla3[[#This Row],[Horas]]))/60)*$D$1,""))</f>
        <v>0</v>
      </c>
      <c r="E269" s="22" t="str">
        <f>IFERROR(Tabla3[[#This Row],[Cantidad producida]]/Tabla3[[#This Row],[Cantidad teórica]],"")</f>
        <v/>
      </c>
      <c r="F269" s="22">
        <f>IF(Tabla3[[#This Row],[Fecha]]&lt;53,"",IFERROR(Tabla3[[#This Row],[Horas]]/$F$1,""))</f>
        <v>0</v>
      </c>
      <c r="G269" s="15" t="str">
        <f>IF(Tabla3[[#This Row],[Disponibilidad]]="","",IF(Tabla3[[#This Row],[Disponibilidad]]&gt;1,"NO",""))</f>
        <v/>
      </c>
      <c r="H269" t="str">
        <f>IFERROR(IF(VLOOKUP(Tabla3[[#This Row],[Fecha]],Tabla1[[Día]:[P/LC/CF/CL]],5,FALSE)="LC","SI",""),"")</f>
        <v/>
      </c>
      <c r="I269" s="22" t="str">
        <f>IFERROR(Tabla3[[#This Row],[Disponibilidad]]*Tabla3[[#This Row],[Rendimiento]], IF(Tabla3[[#This Row],[LC]]="SI", 0, "No"))</f>
        <v>No</v>
      </c>
      <c r="J269" s="16" t="str">
        <f>IF(Tabla3[[#This Row],[OEE]]="No","",WEEKNUM(Tabla3[[#This Row],[Fecha]]))</f>
        <v/>
      </c>
      <c r="K269" s="27" t="str">
        <f>IFERROR(IF(Tabla3[[#This Row],[OEE]]&lt;&gt;"No",Tabla3[[#This Row],[OEE]]/Tabla3[[#This Row],[Disponibilidad]],""),0)</f>
        <v/>
      </c>
    </row>
    <row r="270" spans="1:11" x14ac:dyDescent="0.25">
      <c r="A270" s="2">
        <v>45951</v>
      </c>
      <c r="B270" s="5">
        <f>SUMIFS('paradas-disp'!F:F,'paradas-disp'!A:A,Tabla3[[#This Row],[Fecha]])</f>
        <v>0</v>
      </c>
      <c r="C270" s="15">
        <f>SUMIFS('paradas-disp'!I:I,'paradas-disp'!A:A,Tabla3[[#This Row],[Fecha]])</f>
        <v>0</v>
      </c>
      <c r="D270" s="15">
        <f>IF(Tabla3[[#This Row],[Fecha]]&lt;53,"",IFERROR(((HOUR(Tabla3[[#This Row],[Horas]])*60+MINUTE(Tabla3[[#This Row],[Horas]]))/60)*$D$1,""))</f>
        <v>0</v>
      </c>
      <c r="E270" s="22" t="str">
        <f>IFERROR(Tabla3[[#This Row],[Cantidad producida]]/Tabla3[[#This Row],[Cantidad teórica]],"")</f>
        <v/>
      </c>
      <c r="F270" s="22">
        <f>IF(Tabla3[[#This Row],[Fecha]]&lt;53,"",IFERROR(Tabla3[[#This Row],[Horas]]/$F$1,""))</f>
        <v>0</v>
      </c>
      <c r="G270" s="15" t="str">
        <f>IF(Tabla3[[#This Row],[Disponibilidad]]="","",IF(Tabla3[[#This Row],[Disponibilidad]]&gt;1,"NO",""))</f>
        <v/>
      </c>
      <c r="H270" t="str">
        <f>IFERROR(IF(VLOOKUP(Tabla3[[#This Row],[Fecha]],Tabla1[[Día]:[P/LC/CF/CL]],5,FALSE)="LC","SI",""),"")</f>
        <v/>
      </c>
      <c r="I270" s="22" t="str">
        <f>IFERROR(Tabla3[[#This Row],[Disponibilidad]]*Tabla3[[#This Row],[Rendimiento]], IF(Tabla3[[#This Row],[LC]]="SI", 0, "No"))</f>
        <v>No</v>
      </c>
      <c r="J270" s="16" t="str">
        <f>IF(Tabla3[[#This Row],[OEE]]="No","",WEEKNUM(Tabla3[[#This Row],[Fecha]]))</f>
        <v/>
      </c>
      <c r="K270" s="27" t="str">
        <f>IFERROR(IF(Tabla3[[#This Row],[OEE]]&lt;&gt;"No",Tabla3[[#This Row],[OEE]]/Tabla3[[#This Row],[Disponibilidad]],""),0)</f>
        <v/>
      </c>
    </row>
    <row r="271" spans="1:11" x14ac:dyDescent="0.25">
      <c r="A271" s="2">
        <v>45952</v>
      </c>
      <c r="B271" s="5">
        <f>SUMIFS('paradas-disp'!F:F,'paradas-disp'!A:A,Tabla3[[#This Row],[Fecha]])</f>
        <v>0</v>
      </c>
      <c r="C271" s="15">
        <f>SUMIFS('paradas-disp'!I:I,'paradas-disp'!A:A,Tabla3[[#This Row],[Fecha]])</f>
        <v>0</v>
      </c>
      <c r="D271" s="15">
        <f>IF(Tabla3[[#This Row],[Fecha]]&lt;53,"",IFERROR(((HOUR(Tabla3[[#This Row],[Horas]])*60+MINUTE(Tabla3[[#This Row],[Horas]]))/60)*$D$1,""))</f>
        <v>0</v>
      </c>
      <c r="E271" s="22" t="str">
        <f>IFERROR(Tabla3[[#This Row],[Cantidad producida]]/Tabla3[[#This Row],[Cantidad teórica]],"")</f>
        <v/>
      </c>
      <c r="F271" s="22">
        <f>IF(Tabla3[[#This Row],[Fecha]]&lt;53,"",IFERROR(Tabla3[[#This Row],[Horas]]/$F$1,""))</f>
        <v>0</v>
      </c>
      <c r="G271" s="15" t="str">
        <f>IF(Tabla3[[#This Row],[Disponibilidad]]="","",IF(Tabla3[[#This Row],[Disponibilidad]]&gt;1,"NO",""))</f>
        <v/>
      </c>
      <c r="H271" t="str">
        <f>IFERROR(IF(VLOOKUP(Tabla3[[#This Row],[Fecha]],Tabla1[[Día]:[P/LC/CF/CL]],5,FALSE)="LC","SI",""),"")</f>
        <v/>
      </c>
      <c r="I271" s="22" t="str">
        <f>IFERROR(Tabla3[[#This Row],[Disponibilidad]]*Tabla3[[#This Row],[Rendimiento]], IF(Tabla3[[#This Row],[LC]]="SI", 0, "No"))</f>
        <v>No</v>
      </c>
      <c r="J271" s="16" t="str">
        <f>IF(Tabla3[[#This Row],[OEE]]="No","",WEEKNUM(Tabla3[[#This Row],[Fecha]]))</f>
        <v/>
      </c>
      <c r="K271" s="27" t="str">
        <f>IFERROR(IF(Tabla3[[#This Row],[OEE]]&lt;&gt;"No",Tabla3[[#This Row],[OEE]]/Tabla3[[#This Row],[Disponibilidad]],""),0)</f>
        <v/>
      </c>
    </row>
    <row r="272" spans="1:11" x14ac:dyDescent="0.25">
      <c r="A272" s="2">
        <v>45953</v>
      </c>
      <c r="B272" s="5">
        <f>SUMIFS('paradas-disp'!F:F,'paradas-disp'!A:A,Tabla3[[#This Row],[Fecha]])</f>
        <v>0</v>
      </c>
      <c r="C272" s="15">
        <f>SUMIFS('paradas-disp'!I:I,'paradas-disp'!A:A,Tabla3[[#This Row],[Fecha]])</f>
        <v>0</v>
      </c>
      <c r="D272" s="15">
        <f>IF(Tabla3[[#This Row],[Fecha]]&lt;53,"",IFERROR(((HOUR(Tabla3[[#This Row],[Horas]])*60+MINUTE(Tabla3[[#This Row],[Horas]]))/60)*$D$1,""))</f>
        <v>0</v>
      </c>
      <c r="E272" s="22" t="str">
        <f>IFERROR(Tabla3[[#This Row],[Cantidad producida]]/Tabla3[[#This Row],[Cantidad teórica]],"")</f>
        <v/>
      </c>
      <c r="F272" s="22">
        <f>IF(Tabla3[[#This Row],[Fecha]]&lt;53,"",IFERROR(Tabla3[[#This Row],[Horas]]/$F$1,""))</f>
        <v>0</v>
      </c>
      <c r="G272" s="15" t="str">
        <f>IF(Tabla3[[#This Row],[Disponibilidad]]="","",IF(Tabla3[[#This Row],[Disponibilidad]]&gt;1,"NO",""))</f>
        <v/>
      </c>
      <c r="H272" t="str">
        <f>IFERROR(IF(VLOOKUP(Tabla3[[#This Row],[Fecha]],Tabla1[[Día]:[P/LC/CF/CL]],5,FALSE)="LC","SI",""),"")</f>
        <v/>
      </c>
      <c r="I272" s="22" t="str">
        <f>IFERROR(Tabla3[[#This Row],[Disponibilidad]]*Tabla3[[#This Row],[Rendimiento]], IF(Tabla3[[#This Row],[LC]]="SI", 0, "No"))</f>
        <v>No</v>
      </c>
      <c r="J272" s="16" t="str">
        <f>IF(Tabla3[[#This Row],[OEE]]="No","",WEEKNUM(Tabla3[[#This Row],[Fecha]]))</f>
        <v/>
      </c>
      <c r="K272" s="27" t="str">
        <f>IFERROR(IF(Tabla3[[#This Row],[OEE]]&lt;&gt;"No",Tabla3[[#This Row],[OEE]]/Tabla3[[#This Row],[Disponibilidad]],""),0)</f>
        <v/>
      </c>
    </row>
    <row r="273" spans="1:11" x14ac:dyDescent="0.25">
      <c r="A273" s="2">
        <v>45954</v>
      </c>
      <c r="B273" s="5">
        <f>SUMIFS('paradas-disp'!F:F,'paradas-disp'!A:A,Tabla3[[#This Row],[Fecha]])</f>
        <v>0</v>
      </c>
      <c r="C273" s="15">
        <f>SUMIFS('paradas-disp'!I:I,'paradas-disp'!A:A,Tabla3[[#This Row],[Fecha]])</f>
        <v>0</v>
      </c>
      <c r="D273" s="15">
        <f>IF(Tabla3[[#This Row],[Fecha]]&lt;53,"",IFERROR(((HOUR(Tabla3[[#This Row],[Horas]])*60+MINUTE(Tabla3[[#This Row],[Horas]]))/60)*$D$1,""))</f>
        <v>0</v>
      </c>
      <c r="E273" s="22" t="str">
        <f>IFERROR(Tabla3[[#This Row],[Cantidad producida]]/Tabla3[[#This Row],[Cantidad teórica]],"")</f>
        <v/>
      </c>
      <c r="F273" s="22">
        <f>IF(Tabla3[[#This Row],[Fecha]]&lt;53,"",IFERROR(Tabla3[[#This Row],[Horas]]/$F$1,""))</f>
        <v>0</v>
      </c>
      <c r="G273" s="15" t="str">
        <f>IF(Tabla3[[#This Row],[Disponibilidad]]="","",IF(Tabla3[[#This Row],[Disponibilidad]]&gt;1,"NO",""))</f>
        <v/>
      </c>
      <c r="H273" t="str">
        <f>IFERROR(IF(VLOOKUP(Tabla3[[#This Row],[Fecha]],Tabla1[[Día]:[P/LC/CF/CL]],5,FALSE)="LC","SI",""),"")</f>
        <v/>
      </c>
      <c r="I273" s="22" t="str">
        <f>IFERROR(Tabla3[[#This Row],[Disponibilidad]]*Tabla3[[#This Row],[Rendimiento]], IF(Tabla3[[#This Row],[LC]]="SI", 0, "No"))</f>
        <v>No</v>
      </c>
      <c r="J273" s="16" t="str">
        <f>IF(Tabla3[[#This Row],[OEE]]="No","",WEEKNUM(Tabla3[[#This Row],[Fecha]]))</f>
        <v/>
      </c>
      <c r="K273" s="27" t="str">
        <f>IFERROR(IF(Tabla3[[#This Row],[OEE]]&lt;&gt;"No",Tabla3[[#This Row],[OEE]]/Tabla3[[#This Row],[Disponibilidad]],""),0)</f>
        <v/>
      </c>
    </row>
    <row r="274" spans="1:11" x14ac:dyDescent="0.25">
      <c r="A274" s="2">
        <v>45955</v>
      </c>
      <c r="B274" s="5">
        <f>SUMIFS('paradas-disp'!F:F,'paradas-disp'!A:A,Tabla3[[#This Row],[Fecha]])</f>
        <v>0</v>
      </c>
      <c r="C274" s="15">
        <f>SUMIFS('paradas-disp'!I:I,'paradas-disp'!A:A,Tabla3[[#This Row],[Fecha]])</f>
        <v>0</v>
      </c>
      <c r="D274" s="15">
        <f>IF(Tabla3[[#This Row],[Fecha]]&lt;53,"",IFERROR(((HOUR(Tabla3[[#This Row],[Horas]])*60+MINUTE(Tabla3[[#This Row],[Horas]]))/60)*$D$1,""))</f>
        <v>0</v>
      </c>
      <c r="E274" s="22" t="str">
        <f>IFERROR(Tabla3[[#This Row],[Cantidad producida]]/Tabla3[[#This Row],[Cantidad teórica]],"")</f>
        <v/>
      </c>
      <c r="F274" s="22">
        <f>IF(Tabla3[[#This Row],[Fecha]]&lt;53,"",IFERROR(Tabla3[[#This Row],[Horas]]/$F$1,""))</f>
        <v>0</v>
      </c>
      <c r="G274" s="15" t="str">
        <f>IF(Tabla3[[#This Row],[Disponibilidad]]="","",IF(Tabla3[[#This Row],[Disponibilidad]]&gt;1,"NO",""))</f>
        <v/>
      </c>
      <c r="H274" t="str">
        <f>IFERROR(IF(VLOOKUP(Tabla3[[#This Row],[Fecha]],Tabla1[[Día]:[P/LC/CF/CL]],5,FALSE)="LC","SI",""),"")</f>
        <v/>
      </c>
      <c r="I274" s="22" t="str">
        <f>IFERROR(Tabla3[[#This Row],[Disponibilidad]]*Tabla3[[#This Row],[Rendimiento]], IF(Tabla3[[#This Row],[LC]]="SI", 0, "No"))</f>
        <v>No</v>
      </c>
      <c r="J274" s="16" t="str">
        <f>IF(Tabla3[[#This Row],[OEE]]="No","",WEEKNUM(Tabla3[[#This Row],[Fecha]]))</f>
        <v/>
      </c>
      <c r="K274" s="27" t="str">
        <f>IFERROR(IF(Tabla3[[#This Row],[OEE]]&lt;&gt;"No",Tabla3[[#This Row],[OEE]]/Tabla3[[#This Row],[Disponibilidad]],""),0)</f>
        <v/>
      </c>
    </row>
    <row r="275" spans="1:11" x14ac:dyDescent="0.25">
      <c r="A275" s="2">
        <v>45956</v>
      </c>
      <c r="B275" s="5">
        <f>SUMIFS('paradas-disp'!F:F,'paradas-disp'!A:A,Tabla3[[#This Row],[Fecha]])</f>
        <v>0</v>
      </c>
      <c r="C275" s="15">
        <f>SUMIFS('paradas-disp'!I:I,'paradas-disp'!A:A,Tabla3[[#This Row],[Fecha]])</f>
        <v>0</v>
      </c>
      <c r="D275" s="15">
        <f>IF(Tabla3[[#This Row],[Fecha]]&lt;53,"",IFERROR(((HOUR(Tabla3[[#This Row],[Horas]])*60+MINUTE(Tabla3[[#This Row],[Horas]]))/60)*$D$1,""))</f>
        <v>0</v>
      </c>
      <c r="E275" s="22" t="str">
        <f>IFERROR(Tabla3[[#This Row],[Cantidad producida]]/Tabla3[[#This Row],[Cantidad teórica]],"")</f>
        <v/>
      </c>
      <c r="F275" s="22">
        <f>IF(Tabla3[[#This Row],[Fecha]]&lt;53,"",IFERROR(Tabla3[[#This Row],[Horas]]/$F$1,""))</f>
        <v>0</v>
      </c>
      <c r="G275" s="15" t="str">
        <f>IF(Tabla3[[#This Row],[Disponibilidad]]="","",IF(Tabla3[[#This Row],[Disponibilidad]]&gt;1,"NO",""))</f>
        <v/>
      </c>
      <c r="H275" t="str">
        <f>IFERROR(IF(VLOOKUP(Tabla3[[#This Row],[Fecha]],Tabla1[[Día]:[P/LC/CF/CL]],5,FALSE)="LC","SI",""),"")</f>
        <v/>
      </c>
      <c r="I275" s="22" t="str">
        <f>IFERROR(Tabla3[[#This Row],[Disponibilidad]]*Tabla3[[#This Row],[Rendimiento]], IF(Tabla3[[#This Row],[LC]]="SI", 0, "No"))</f>
        <v>No</v>
      </c>
      <c r="J275" s="16" t="str">
        <f>IF(Tabla3[[#This Row],[OEE]]="No","",WEEKNUM(Tabla3[[#This Row],[Fecha]]))</f>
        <v/>
      </c>
      <c r="K275" s="27" t="str">
        <f>IFERROR(IF(Tabla3[[#This Row],[OEE]]&lt;&gt;"No",Tabla3[[#This Row],[OEE]]/Tabla3[[#This Row],[Disponibilidad]],""),0)</f>
        <v/>
      </c>
    </row>
    <row r="276" spans="1:11" x14ac:dyDescent="0.25">
      <c r="A276" s="2">
        <v>45957</v>
      </c>
      <c r="B276" s="5">
        <f>SUMIFS('paradas-disp'!F:F,'paradas-disp'!A:A,Tabla3[[#This Row],[Fecha]])</f>
        <v>0</v>
      </c>
      <c r="C276" s="15">
        <f>SUMIFS('paradas-disp'!I:I,'paradas-disp'!A:A,Tabla3[[#This Row],[Fecha]])</f>
        <v>0</v>
      </c>
      <c r="D276" s="15">
        <f>IF(Tabla3[[#This Row],[Fecha]]&lt;53,"",IFERROR(((HOUR(Tabla3[[#This Row],[Horas]])*60+MINUTE(Tabla3[[#This Row],[Horas]]))/60)*$D$1,""))</f>
        <v>0</v>
      </c>
      <c r="E276" s="22" t="str">
        <f>IFERROR(Tabla3[[#This Row],[Cantidad producida]]/Tabla3[[#This Row],[Cantidad teórica]],"")</f>
        <v/>
      </c>
      <c r="F276" s="22">
        <f>IF(Tabla3[[#This Row],[Fecha]]&lt;53,"",IFERROR(Tabla3[[#This Row],[Horas]]/$F$1,""))</f>
        <v>0</v>
      </c>
      <c r="G276" s="15" t="str">
        <f>IF(Tabla3[[#This Row],[Disponibilidad]]="","",IF(Tabla3[[#This Row],[Disponibilidad]]&gt;1,"NO",""))</f>
        <v/>
      </c>
      <c r="H276" t="str">
        <f>IFERROR(IF(VLOOKUP(Tabla3[[#This Row],[Fecha]],Tabla1[[Día]:[P/LC/CF/CL]],5,FALSE)="LC","SI",""),"")</f>
        <v/>
      </c>
      <c r="I276" s="22" t="str">
        <f>IFERROR(Tabla3[[#This Row],[Disponibilidad]]*Tabla3[[#This Row],[Rendimiento]], IF(Tabla3[[#This Row],[LC]]="SI", 0, "No"))</f>
        <v>No</v>
      </c>
      <c r="J276" s="16" t="str">
        <f>IF(Tabla3[[#This Row],[OEE]]="No","",WEEKNUM(Tabla3[[#This Row],[Fecha]]))</f>
        <v/>
      </c>
      <c r="K276" s="27" t="str">
        <f>IFERROR(IF(Tabla3[[#This Row],[OEE]]&lt;&gt;"No",Tabla3[[#This Row],[OEE]]/Tabla3[[#This Row],[Disponibilidad]],""),0)</f>
        <v/>
      </c>
    </row>
    <row r="277" spans="1:11" x14ac:dyDescent="0.25">
      <c r="A277" s="2">
        <v>45958</v>
      </c>
      <c r="B277" s="5">
        <f>SUMIFS('paradas-disp'!F:F,'paradas-disp'!A:A,Tabla3[[#This Row],[Fecha]])</f>
        <v>0</v>
      </c>
      <c r="C277" s="15">
        <f>SUMIFS('paradas-disp'!I:I,'paradas-disp'!A:A,Tabla3[[#This Row],[Fecha]])</f>
        <v>0</v>
      </c>
      <c r="D277" s="15">
        <f>IF(Tabla3[[#This Row],[Fecha]]&lt;53,"",IFERROR(((HOUR(Tabla3[[#This Row],[Horas]])*60+MINUTE(Tabla3[[#This Row],[Horas]]))/60)*$D$1,""))</f>
        <v>0</v>
      </c>
      <c r="E277" s="22" t="str">
        <f>IFERROR(Tabla3[[#This Row],[Cantidad producida]]/Tabla3[[#This Row],[Cantidad teórica]],"")</f>
        <v/>
      </c>
      <c r="F277" s="22">
        <f>IF(Tabla3[[#This Row],[Fecha]]&lt;53,"",IFERROR(Tabla3[[#This Row],[Horas]]/$F$1,""))</f>
        <v>0</v>
      </c>
      <c r="G277" s="15" t="str">
        <f>IF(Tabla3[[#This Row],[Disponibilidad]]="","",IF(Tabla3[[#This Row],[Disponibilidad]]&gt;1,"NO",""))</f>
        <v/>
      </c>
      <c r="H277" t="str">
        <f>IFERROR(IF(VLOOKUP(Tabla3[[#This Row],[Fecha]],Tabla1[[Día]:[P/LC/CF/CL]],5,FALSE)="LC","SI",""),"")</f>
        <v/>
      </c>
      <c r="I277" s="22" t="str">
        <f>IFERROR(Tabla3[[#This Row],[Disponibilidad]]*Tabla3[[#This Row],[Rendimiento]], IF(Tabla3[[#This Row],[LC]]="SI", 0, "No"))</f>
        <v>No</v>
      </c>
      <c r="J277" s="16" t="str">
        <f>IF(Tabla3[[#This Row],[OEE]]="No","",WEEKNUM(Tabla3[[#This Row],[Fecha]]))</f>
        <v/>
      </c>
      <c r="K277" s="27" t="str">
        <f>IFERROR(IF(Tabla3[[#This Row],[OEE]]&lt;&gt;"No",Tabla3[[#This Row],[OEE]]/Tabla3[[#This Row],[Disponibilidad]],""),0)</f>
        <v/>
      </c>
    </row>
    <row r="278" spans="1:11" x14ac:dyDescent="0.25">
      <c r="A278" s="2">
        <v>45959</v>
      </c>
      <c r="B278" s="5">
        <f>SUMIFS('paradas-disp'!F:F,'paradas-disp'!A:A,Tabla3[[#This Row],[Fecha]])</f>
        <v>0</v>
      </c>
      <c r="C278" s="15">
        <f>SUMIFS('paradas-disp'!I:I,'paradas-disp'!A:A,Tabla3[[#This Row],[Fecha]])</f>
        <v>0</v>
      </c>
      <c r="D278" s="15">
        <f>IF(Tabla3[[#This Row],[Fecha]]&lt;53,"",IFERROR(((HOUR(Tabla3[[#This Row],[Horas]])*60+MINUTE(Tabla3[[#This Row],[Horas]]))/60)*$D$1,""))</f>
        <v>0</v>
      </c>
      <c r="E278" s="22" t="str">
        <f>IFERROR(Tabla3[[#This Row],[Cantidad producida]]/Tabla3[[#This Row],[Cantidad teórica]],"")</f>
        <v/>
      </c>
      <c r="F278" s="22">
        <f>IF(Tabla3[[#This Row],[Fecha]]&lt;53,"",IFERROR(Tabla3[[#This Row],[Horas]]/$F$1,""))</f>
        <v>0</v>
      </c>
      <c r="G278" s="15" t="str">
        <f>IF(Tabla3[[#This Row],[Disponibilidad]]="","",IF(Tabla3[[#This Row],[Disponibilidad]]&gt;1,"NO",""))</f>
        <v/>
      </c>
      <c r="H278" t="str">
        <f>IFERROR(IF(VLOOKUP(Tabla3[[#This Row],[Fecha]],Tabla1[[Día]:[P/LC/CF/CL]],5,FALSE)="LC","SI",""),"")</f>
        <v/>
      </c>
      <c r="I278" s="22" t="str">
        <f>IFERROR(Tabla3[[#This Row],[Disponibilidad]]*Tabla3[[#This Row],[Rendimiento]], IF(Tabla3[[#This Row],[LC]]="SI", 0, "No"))</f>
        <v>No</v>
      </c>
      <c r="J278" s="16" t="str">
        <f>IF(Tabla3[[#This Row],[OEE]]="No","",WEEKNUM(Tabla3[[#This Row],[Fecha]]))</f>
        <v/>
      </c>
      <c r="K278" s="27" t="str">
        <f>IFERROR(IF(Tabla3[[#This Row],[OEE]]&lt;&gt;"No",Tabla3[[#This Row],[OEE]]/Tabla3[[#This Row],[Disponibilidad]],""),0)</f>
        <v/>
      </c>
    </row>
    <row r="279" spans="1:11" x14ac:dyDescent="0.25">
      <c r="A279" s="2">
        <v>45960</v>
      </c>
      <c r="B279" s="5">
        <f>SUMIFS('paradas-disp'!F:F,'paradas-disp'!A:A,Tabla3[[#This Row],[Fecha]])</f>
        <v>0</v>
      </c>
      <c r="C279" s="15">
        <f>SUMIFS('paradas-disp'!I:I,'paradas-disp'!A:A,Tabla3[[#This Row],[Fecha]])</f>
        <v>0</v>
      </c>
      <c r="D279" s="15">
        <f>IF(Tabla3[[#This Row],[Fecha]]&lt;53,"",IFERROR(((HOUR(Tabla3[[#This Row],[Horas]])*60+MINUTE(Tabla3[[#This Row],[Horas]]))/60)*$D$1,""))</f>
        <v>0</v>
      </c>
      <c r="E279" s="22" t="str">
        <f>IFERROR(Tabla3[[#This Row],[Cantidad producida]]/Tabla3[[#This Row],[Cantidad teórica]],"")</f>
        <v/>
      </c>
      <c r="F279" s="22">
        <f>IF(Tabla3[[#This Row],[Fecha]]&lt;53,"",IFERROR(Tabla3[[#This Row],[Horas]]/$F$1,""))</f>
        <v>0</v>
      </c>
      <c r="G279" s="15" t="str">
        <f>IF(Tabla3[[#This Row],[Disponibilidad]]="","",IF(Tabla3[[#This Row],[Disponibilidad]]&gt;1,"NO",""))</f>
        <v/>
      </c>
      <c r="H279" t="str">
        <f>IFERROR(IF(VLOOKUP(Tabla3[[#This Row],[Fecha]],Tabla1[[Día]:[P/LC/CF/CL]],5,FALSE)="LC","SI",""),"")</f>
        <v/>
      </c>
      <c r="I279" s="22" t="str">
        <f>IFERROR(Tabla3[[#This Row],[Disponibilidad]]*Tabla3[[#This Row],[Rendimiento]], IF(Tabla3[[#This Row],[LC]]="SI", 0, "No"))</f>
        <v>No</v>
      </c>
      <c r="J279" s="16" t="str">
        <f>IF(Tabla3[[#This Row],[OEE]]="No","",WEEKNUM(Tabla3[[#This Row],[Fecha]]))</f>
        <v/>
      </c>
      <c r="K279" s="27" t="str">
        <f>IFERROR(IF(Tabla3[[#This Row],[OEE]]&lt;&gt;"No",Tabla3[[#This Row],[OEE]]/Tabla3[[#This Row],[Disponibilidad]],""),0)</f>
        <v/>
      </c>
    </row>
    <row r="280" spans="1:11" x14ac:dyDescent="0.25">
      <c r="A280" s="2">
        <v>45961</v>
      </c>
      <c r="B280" s="5">
        <f>SUMIFS('paradas-disp'!F:F,'paradas-disp'!A:A,Tabla3[[#This Row],[Fecha]])</f>
        <v>0</v>
      </c>
      <c r="C280" s="15">
        <f>SUMIFS('paradas-disp'!I:I,'paradas-disp'!A:A,Tabla3[[#This Row],[Fecha]])</f>
        <v>0</v>
      </c>
      <c r="D280" s="15">
        <f>IF(Tabla3[[#This Row],[Fecha]]&lt;53,"",IFERROR(((HOUR(Tabla3[[#This Row],[Horas]])*60+MINUTE(Tabla3[[#This Row],[Horas]]))/60)*$D$1,""))</f>
        <v>0</v>
      </c>
      <c r="E280" s="22" t="str">
        <f>IFERROR(Tabla3[[#This Row],[Cantidad producida]]/Tabla3[[#This Row],[Cantidad teórica]],"")</f>
        <v/>
      </c>
      <c r="F280" s="22">
        <f>IF(Tabla3[[#This Row],[Fecha]]&lt;53,"",IFERROR(Tabla3[[#This Row],[Horas]]/$F$1,""))</f>
        <v>0</v>
      </c>
      <c r="G280" s="15" t="str">
        <f>IF(Tabla3[[#This Row],[Disponibilidad]]="","",IF(Tabla3[[#This Row],[Disponibilidad]]&gt;1,"NO",""))</f>
        <v/>
      </c>
      <c r="H280" t="str">
        <f>IFERROR(IF(VLOOKUP(Tabla3[[#This Row],[Fecha]],Tabla1[[Día]:[P/LC/CF/CL]],5,FALSE)="LC","SI",""),"")</f>
        <v/>
      </c>
      <c r="I280" s="22" t="str">
        <f>IFERROR(Tabla3[[#This Row],[Disponibilidad]]*Tabla3[[#This Row],[Rendimiento]], IF(Tabla3[[#This Row],[LC]]="SI", 0, "No"))</f>
        <v>No</v>
      </c>
      <c r="J280" s="16" t="str">
        <f>IF(Tabla3[[#This Row],[OEE]]="No","",WEEKNUM(Tabla3[[#This Row],[Fecha]]))</f>
        <v/>
      </c>
      <c r="K280" s="27" t="str">
        <f>IFERROR(IF(Tabla3[[#This Row],[OEE]]&lt;&gt;"No",Tabla3[[#This Row],[OEE]]/Tabla3[[#This Row],[Disponibilidad]],""),0)</f>
        <v/>
      </c>
    </row>
    <row r="281" spans="1:11" x14ac:dyDescent="0.25">
      <c r="A281" s="2">
        <v>45962</v>
      </c>
      <c r="B281" s="5">
        <f>SUMIFS('paradas-disp'!F:F,'paradas-disp'!A:A,Tabla3[[#This Row],[Fecha]])</f>
        <v>0</v>
      </c>
      <c r="C281" s="15">
        <f>SUMIFS('paradas-disp'!I:I,'paradas-disp'!A:A,Tabla3[[#This Row],[Fecha]])</f>
        <v>0</v>
      </c>
      <c r="D281" s="15">
        <f>IF(Tabla3[[#This Row],[Fecha]]&lt;53,"",IFERROR(((HOUR(Tabla3[[#This Row],[Horas]])*60+MINUTE(Tabla3[[#This Row],[Horas]]))/60)*$D$1,""))</f>
        <v>0</v>
      </c>
      <c r="E281" s="22" t="str">
        <f>IFERROR(Tabla3[[#This Row],[Cantidad producida]]/Tabla3[[#This Row],[Cantidad teórica]],"")</f>
        <v/>
      </c>
      <c r="F281" s="22">
        <f>IF(Tabla3[[#This Row],[Fecha]]&lt;53,"",IFERROR(Tabla3[[#This Row],[Horas]]/$F$1,""))</f>
        <v>0</v>
      </c>
      <c r="G281" s="15" t="str">
        <f>IF(Tabla3[[#This Row],[Disponibilidad]]="","",IF(Tabla3[[#This Row],[Disponibilidad]]&gt;1,"NO",""))</f>
        <v/>
      </c>
      <c r="H281" t="str">
        <f>IFERROR(IF(VLOOKUP(Tabla3[[#This Row],[Fecha]],Tabla1[[Día]:[P/LC/CF/CL]],5,FALSE)="LC","SI",""),"")</f>
        <v/>
      </c>
      <c r="I281" s="22" t="str">
        <f>IFERROR(Tabla3[[#This Row],[Disponibilidad]]*Tabla3[[#This Row],[Rendimiento]], IF(Tabla3[[#This Row],[LC]]="SI", 0, "No"))</f>
        <v>No</v>
      </c>
      <c r="J281" s="16" t="str">
        <f>IF(Tabla3[[#This Row],[OEE]]="No","",WEEKNUM(Tabla3[[#This Row],[Fecha]]))</f>
        <v/>
      </c>
      <c r="K281" s="27" t="str">
        <f>IFERROR(IF(Tabla3[[#This Row],[OEE]]&lt;&gt;"No",Tabla3[[#This Row],[OEE]]/Tabla3[[#This Row],[Disponibilidad]],""),0)</f>
        <v/>
      </c>
    </row>
    <row r="282" spans="1:11" x14ac:dyDescent="0.25">
      <c r="A282" s="2">
        <v>45963</v>
      </c>
      <c r="B282" s="5">
        <f>SUMIFS('paradas-disp'!F:F,'paradas-disp'!A:A,Tabla3[[#This Row],[Fecha]])</f>
        <v>0</v>
      </c>
      <c r="C282" s="15">
        <f>SUMIFS('paradas-disp'!I:I,'paradas-disp'!A:A,Tabla3[[#This Row],[Fecha]])</f>
        <v>0</v>
      </c>
      <c r="D282" s="15">
        <f>IF(Tabla3[[#This Row],[Fecha]]&lt;53,"",IFERROR(((HOUR(Tabla3[[#This Row],[Horas]])*60+MINUTE(Tabla3[[#This Row],[Horas]]))/60)*$D$1,""))</f>
        <v>0</v>
      </c>
      <c r="E282" s="22" t="str">
        <f>IFERROR(Tabla3[[#This Row],[Cantidad producida]]/Tabla3[[#This Row],[Cantidad teórica]],"")</f>
        <v/>
      </c>
      <c r="F282" s="22">
        <f>IF(Tabla3[[#This Row],[Fecha]]&lt;53,"",IFERROR(Tabla3[[#This Row],[Horas]]/$F$1,""))</f>
        <v>0</v>
      </c>
      <c r="G282" s="15" t="str">
        <f>IF(Tabla3[[#This Row],[Disponibilidad]]="","",IF(Tabla3[[#This Row],[Disponibilidad]]&gt;1,"NO",""))</f>
        <v/>
      </c>
      <c r="H282" t="str">
        <f>IFERROR(IF(VLOOKUP(Tabla3[[#This Row],[Fecha]],Tabla1[[Día]:[P/LC/CF/CL]],5,FALSE)="LC","SI",""),"")</f>
        <v/>
      </c>
      <c r="I282" s="22" t="str">
        <f>IFERROR(Tabla3[[#This Row],[Disponibilidad]]*Tabla3[[#This Row],[Rendimiento]], IF(Tabla3[[#This Row],[LC]]="SI", 0, "No"))</f>
        <v>No</v>
      </c>
      <c r="J282" s="16" t="str">
        <f>IF(Tabla3[[#This Row],[OEE]]="No","",WEEKNUM(Tabla3[[#This Row],[Fecha]]))</f>
        <v/>
      </c>
      <c r="K282" s="27" t="str">
        <f>IFERROR(IF(Tabla3[[#This Row],[OEE]]&lt;&gt;"No",Tabla3[[#This Row],[OEE]]/Tabla3[[#This Row],[Disponibilidad]],""),0)</f>
        <v/>
      </c>
    </row>
    <row r="283" spans="1:11" x14ac:dyDescent="0.25">
      <c r="A283" s="2">
        <v>45964</v>
      </c>
      <c r="B283" s="5">
        <f>SUMIFS('paradas-disp'!F:F,'paradas-disp'!A:A,Tabla3[[#This Row],[Fecha]])</f>
        <v>0</v>
      </c>
      <c r="C283" s="15">
        <f>SUMIFS('paradas-disp'!I:I,'paradas-disp'!A:A,Tabla3[[#This Row],[Fecha]])</f>
        <v>0</v>
      </c>
      <c r="D283" s="15">
        <f>IF(Tabla3[[#This Row],[Fecha]]&lt;53,"",IFERROR(((HOUR(Tabla3[[#This Row],[Horas]])*60+MINUTE(Tabla3[[#This Row],[Horas]]))/60)*$D$1,""))</f>
        <v>0</v>
      </c>
      <c r="E283" s="22" t="str">
        <f>IFERROR(Tabla3[[#This Row],[Cantidad producida]]/Tabla3[[#This Row],[Cantidad teórica]],"")</f>
        <v/>
      </c>
      <c r="F283" s="22">
        <f>IF(Tabla3[[#This Row],[Fecha]]&lt;53,"",IFERROR(Tabla3[[#This Row],[Horas]]/$F$1,""))</f>
        <v>0</v>
      </c>
      <c r="G283" s="15" t="str">
        <f>IF(Tabla3[[#This Row],[Disponibilidad]]="","",IF(Tabla3[[#This Row],[Disponibilidad]]&gt;1,"NO",""))</f>
        <v/>
      </c>
      <c r="H283" t="str">
        <f>IFERROR(IF(VLOOKUP(Tabla3[[#This Row],[Fecha]],Tabla1[[Día]:[P/LC/CF/CL]],5,FALSE)="LC","SI",""),"")</f>
        <v/>
      </c>
      <c r="I283" s="22" t="str">
        <f>IFERROR(Tabla3[[#This Row],[Disponibilidad]]*Tabla3[[#This Row],[Rendimiento]], IF(Tabla3[[#This Row],[LC]]="SI", 0, "No"))</f>
        <v>No</v>
      </c>
      <c r="J283" s="16" t="str">
        <f>IF(Tabla3[[#This Row],[OEE]]="No","",WEEKNUM(Tabla3[[#This Row],[Fecha]]))</f>
        <v/>
      </c>
      <c r="K283" s="27" t="str">
        <f>IFERROR(IF(Tabla3[[#This Row],[OEE]]&lt;&gt;"No",Tabla3[[#This Row],[OEE]]/Tabla3[[#This Row],[Disponibilidad]],""),0)</f>
        <v/>
      </c>
    </row>
    <row r="284" spans="1:11" x14ac:dyDescent="0.25">
      <c r="A284" s="2">
        <v>45965</v>
      </c>
      <c r="B284" s="5">
        <f>SUMIFS('paradas-disp'!F:F,'paradas-disp'!A:A,Tabla3[[#This Row],[Fecha]])</f>
        <v>0</v>
      </c>
      <c r="C284" s="15">
        <f>SUMIFS('paradas-disp'!I:I,'paradas-disp'!A:A,Tabla3[[#This Row],[Fecha]])</f>
        <v>0</v>
      </c>
      <c r="D284" s="15">
        <f>IF(Tabla3[[#This Row],[Fecha]]&lt;53,"",IFERROR(((HOUR(Tabla3[[#This Row],[Horas]])*60+MINUTE(Tabla3[[#This Row],[Horas]]))/60)*$D$1,""))</f>
        <v>0</v>
      </c>
      <c r="E284" s="22" t="str">
        <f>IFERROR(Tabla3[[#This Row],[Cantidad producida]]/Tabla3[[#This Row],[Cantidad teórica]],"")</f>
        <v/>
      </c>
      <c r="F284" s="22">
        <f>IF(Tabla3[[#This Row],[Fecha]]&lt;53,"",IFERROR(Tabla3[[#This Row],[Horas]]/$F$1,""))</f>
        <v>0</v>
      </c>
      <c r="G284" s="15" t="str">
        <f>IF(Tabla3[[#This Row],[Disponibilidad]]="","",IF(Tabla3[[#This Row],[Disponibilidad]]&gt;1,"NO",""))</f>
        <v/>
      </c>
      <c r="H284" t="str">
        <f>IFERROR(IF(VLOOKUP(Tabla3[[#This Row],[Fecha]],Tabla1[[Día]:[P/LC/CF/CL]],5,FALSE)="LC","SI",""),"")</f>
        <v/>
      </c>
      <c r="I284" s="22" t="str">
        <f>IFERROR(Tabla3[[#This Row],[Disponibilidad]]*Tabla3[[#This Row],[Rendimiento]], IF(Tabla3[[#This Row],[LC]]="SI", 0, "No"))</f>
        <v>No</v>
      </c>
      <c r="J284" s="16" t="str">
        <f>IF(Tabla3[[#This Row],[OEE]]="No","",WEEKNUM(Tabla3[[#This Row],[Fecha]]))</f>
        <v/>
      </c>
      <c r="K284" s="27" t="str">
        <f>IFERROR(IF(Tabla3[[#This Row],[OEE]]&lt;&gt;"No",Tabla3[[#This Row],[OEE]]/Tabla3[[#This Row],[Disponibilidad]],""),0)</f>
        <v/>
      </c>
    </row>
    <row r="285" spans="1:11" x14ac:dyDescent="0.25">
      <c r="A285" s="2">
        <v>45966</v>
      </c>
      <c r="B285" s="5">
        <f>SUMIFS('paradas-disp'!F:F,'paradas-disp'!A:A,Tabla3[[#This Row],[Fecha]])</f>
        <v>0</v>
      </c>
      <c r="C285" s="15">
        <f>SUMIFS('paradas-disp'!I:I,'paradas-disp'!A:A,Tabla3[[#This Row],[Fecha]])</f>
        <v>0</v>
      </c>
      <c r="D285" s="15">
        <f>IF(Tabla3[[#This Row],[Fecha]]&lt;53,"",IFERROR(((HOUR(Tabla3[[#This Row],[Horas]])*60+MINUTE(Tabla3[[#This Row],[Horas]]))/60)*$D$1,""))</f>
        <v>0</v>
      </c>
      <c r="E285" s="22" t="str">
        <f>IFERROR(Tabla3[[#This Row],[Cantidad producida]]/Tabla3[[#This Row],[Cantidad teórica]],"")</f>
        <v/>
      </c>
      <c r="F285" s="22">
        <f>IF(Tabla3[[#This Row],[Fecha]]&lt;53,"",IFERROR(Tabla3[[#This Row],[Horas]]/$F$1,""))</f>
        <v>0</v>
      </c>
      <c r="G285" s="15" t="str">
        <f>IF(Tabla3[[#This Row],[Disponibilidad]]="","",IF(Tabla3[[#This Row],[Disponibilidad]]&gt;1,"NO",""))</f>
        <v/>
      </c>
      <c r="H285" t="str">
        <f>IFERROR(IF(VLOOKUP(Tabla3[[#This Row],[Fecha]],Tabla1[[Día]:[P/LC/CF/CL]],5,FALSE)="LC","SI",""),"")</f>
        <v/>
      </c>
      <c r="I285" s="22" t="str">
        <f>IFERROR(Tabla3[[#This Row],[Disponibilidad]]*Tabla3[[#This Row],[Rendimiento]], IF(Tabla3[[#This Row],[LC]]="SI", 0, "No"))</f>
        <v>No</v>
      </c>
      <c r="J285" s="16" t="str">
        <f>IF(Tabla3[[#This Row],[OEE]]="No","",WEEKNUM(Tabla3[[#This Row],[Fecha]]))</f>
        <v/>
      </c>
      <c r="K285" s="27" t="str">
        <f>IFERROR(IF(Tabla3[[#This Row],[OEE]]&lt;&gt;"No",Tabla3[[#This Row],[OEE]]/Tabla3[[#This Row],[Disponibilidad]],""),0)</f>
        <v/>
      </c>
    </row>
    <row r="286" spans="1:11" x14ac:dyDescent="0.25">
      <c r="A286" s="2">
        <v>45967</v>
      </c>
      <c r="B286" s="5">
        <f>SUMIFS('paradas-disp'!F:F,'paradas-disp'!A:A,Tabla3[[#This Row],[Fecha]])</f>
        <v>0</v>
      </c>
      <c r="C286" s="15">
        <f>SUMIFS('paradas-disp'!I:I,'paradas-disp'!A:A,Tabla3[[#This Row],[Fecha]])</f>
        <v>0</v>
      </c>
      <c r="D286" s="15">
        <f>IF(Tabla3[[#This Row],[Fecha]]&lt;53,"",IFERROR(((HOUR(Tabla3[[#This Row],[Horas]])*60+MINUTE(Tabla3[[#This Row],[Horas]]))/60)*$D$1,""))</f>
        <v>0</v>
      </c>
      <c r="E286" s="22" t="str">
        <f>IFERROR(Tabla3[[#This Row],[Cantidad producida]]/Tabla3[[#This Row],[Cantidad teórica]],"")</f>
        <v/>
      </c>
      <c r="F286" s="22">
        <f>IF(Tabla3[[#This Row],[Fecha]]&lt;53,"",IFERROR(Tabla3[[#This Row],[Horas]]/$F$1,""))</f>
        <v>0</v>
      </c>
      <c r="G286" s="15" t="str">
        <f>IF(Tabla3[[#This Row],[Disponibilidad]]="","",IF(Tabla3[[#This Row],[Disponibilidad]]&gt;1,"NO",""))</f>
        <v/>
      </c>
      <c r="H286" t="str">
        <f>IFERROR(IF(VLOOKUP(Tabla3[[#This Row],[Fecha]],Tabla1[[Día]:[P/LC/CF/CL]],5,FALSE)="LC","SI",""),"")</f>
        <v/>
      </c>
      <c r="I286" s="22" t="str">
        <f>IFERROR(Tabla3[[#This Row],[Disponibilidad]]*Tabla3[[#This Row],[Rendimiento]], IF(Tabla3[[#This Row],[LC]]="SI", 0, "No"))</f>
        <v>No</v>
      </c>
      <c r="J286" s="16" t="str">
        <f>IF(Tabla3[[#This Row],[OEE]]="No","",WEEKNUM(Tabla3[[#This Row],[Fecha]]))</f>
        <v/>
      </c>
      <c r="K286" s="27" t="str">
        <f>IFERROR(IF(Tabla3[[#This Row],[OEE]]&lt;&gt;"No",Tabla3[[#This Row],[OEE]]/Tabla3[[#This Row],[Disponibilidad]],""),0)</f>
        <v/>
      </c>
    </row>
    <row r="287" spans="1:11" x14ac:dyDescent="0.25">
      <c r="A287" s="2">
        <v>45968</v>
      </c>
      <c r="B287" s="5">
        <f>SUMIFS('paradas-disp'!F:F,'paradas-disp'!A:A,Tabla3[[#This Row],[Fecha]])</f>
        <v>0</v>
      </c>
      <c r="C287" s="15">
        <f>SUMIFS('paradas-disp'!I:I,'paradas-disp'!A:A,Tabla3[[#This Row],[Fecha]])</f>
        <v>0</v>
      </c>
      <c r="D287" s="15">
        <f>IF(Tabla3[[#This Row],[Fecha]]&lt;53,"",IFERROR(((HOUR(Tabla3[[#This Row],[Horas]])*60+MINUTE(Tabla3[[#This Row],[Horas]]))/60)*$D$1,""))</f>
        <v>0</v>
      </c>
      <c r="E287" s="22" t="str">
        <f>IFERROR(Tabla3[[#This Row],[Cantidad producida]]/Tabla3[[#This Row],[Cantidad teórica]],"")</f>
        <v/>
      </c>
      <c r="F287" s="22">
        <f>IF(Tabla3[[#This Row],[Fecha]]&lt;53,"",IFERROR(Tabla3[[#This Row],[Horas]]/$F$1,""))</f>
        <v>0</v>
      </c>
      <c r="G287" s="15" t="str">
        <f>IF(Tabla3[[#This Row],[Disponibilidad]]="","",IF(Tabla3[[#This Row],[Disponibilidad]]&gt;1,"NO",""))</f>
        <v/>
      </c>
      <c r="H287" t="str">
        <f>IFERROR(IF(VLOOKUP(Tabla3[[#This Row],[Fecha]],Tabla1[[Día]:[P/LC/CF/CL]],5,FALSE)="LC","SI",""),"")</f>
        <v/>
      </c>
      <c r="I287" s="22" t="str">
        <f>IFERROR(Tabla3[[#This Row],[Disponibilidad]]*Tabla3[[#This Row],[Rendimiento]], IF(Tabla3[[#This Row],[LC]]="SI", 0, "No"))</f>
        <v>No</v>
      </c>
      <c r="J287" s="16" t="str">
        <f>IF(Tabla3[[#This Row],[OEE]]="No","",WEEKNUM(Tabla3[[#This Row],[Fecha]]))</f>
        <v/>
      </c>
      <c r="K287" s="27" t="str">
        <f>IFERROR(IF(Tabla3[[#This Row],[OEE]]&lt;&gt;"No",Tabla3[[#This Row],[OEE]]/Tabla3[[#This Row],[Disponibilidad]],""),0)</f>
        <v/>
      </c>
    </row>
    <row r="288" spans="1:11" x14ac:dyDescent="0.25">
      <c r="A288" s="2">
        <v>45969</v>
      </c>
      <c r="B288" s="5">
        <f>SUMIFS('paradas-disp'!F:F,'paradas-disp'!A:A,Tabla3[[#This Row],[Fecha]])</f>
        <v>0</v>
      </c>
      <c r="C288" s="15">
        <f>SUMIFS('paradas-disp'!I:I,'paradas-disp'!A:A,Tabla3[[#This Row],[Fecha]])</f>
        <v>0</v>
      </c>
      <c r="D288" s="15">
        <f>IF(Tabla3[[#This Row],[Fecha]]&lt;53,"",IFERROR(((HOUR(Tabla3[[#This Row],[Horas]])*60+MINUTE(Tabla3[[#This Row],[Horas]]))/60)*$D$1,""))</f>
        <v>0</v>
      </c>
      <c r="E288" s="22" t="str">
        <f>IFERROR(Tabla3[[#This Row],[Cantidad producida]]/Tabla3[[#This Row],[Cantidad teórica]],"")</f>
        <v/>
      </c>
      <c r="F288" s="22">
        <f>IF(Tabla3[[#This Row],[Fecha]]&lt;53,"",IFERROR(Tabla3[[#This Row],[Horas]]/$F$1,""))</f>
        <v>0</v>
      </c>
      <c r="G288" s="15" t="str">
        <f>IF(Tabla3[[#This Row],[Disponibilidad]]="","",IF(Tabla3[[#This Row],[Disponibilidad]]&gt;1,"NO",""))</f>
        <v/>
      </c>
      <c r="H288" t="str">
        <f>IFERROR(IF(VLOOKUP(Tabla3[[#This Row],[Fecha]],Tabla1[[Día]:[P/LC/CF/CL]],5,FALSE)="LC","SI",""),"")</f>
        <v/>
      </c>
      <c r="I288" s="22" t="str">
        <f>IFERROR(Tabla3[[#This Row],[Disponibilidad]]*Tabla3[[#This Row],[Rendimiento]], IF(Tabla3[[#This Row],[LC]]="SI", 0, "No"))</f>
        <v>No</v>
      </c>
      <c r="J288" s="16" t="str">
        <f>IF(Tabla3[[#This Row],[OEE]]="No","",WEEKNUM(Tabla3[[#This Row],[Fecha]]))</f>
        <v/>
      </c>
      <c r="K288" s="27" t="str">
        <f>IFERROR(IF(Tabla3[[#This Row],[OEE]]&lt;&gt;"No",Tabla3[[#This Row],[OEE]]/Tabla3[[#This Row],[Disponibilidad]],""),0)</f>
        <v/>
      </c>
    </row>
    <row r="289" spans="1:11" x14ac:dyDescent="0.25">
      <c r="A289" s="2">
        <v>45970</v>
      </c>
      <c r="B289" s="5">
        <f>SUMIFS('paradas-disp'!F:F,'paradas-disp'!A:A,Tabla3[[#This Row],[Fecha]])</f>
        <v>0</v>
      </c>
      <c r="C289" s="15">
        <f>SUMIFS('paradas-disp'!I:I,'paradas-disp'!A:A,Tabla3[[#This Row],[Fecha]])</f>
        <v>0</v>
      </c>
      <c r="D289" s="15">
        <f>IF(Tabla3[[#This Row],[Fecha]]&lt;53,"",IFERROR(((HOUR(Tabla3[[#This Row],[Horas]])*60+MINUTE(Tabla3[[#This Row],[Horas]]))/60)*$D$1,""))</f>
        <v>0</v>
      </c>
      <c r="E289" s="22" t="str">
        <f>IFERROR(Tabla3[[#This Row],[Cantidad producida]]/Tabla3[[#This Row],[Cantidad teórica]],"")</f>
        <v/>
      </c>
      <c r="F289" s="22">
        <f>IF(Tabla3[[#This Row],[Fecha]]&lt;53,"",IFERROR(Tabla3[[#This Row],[Horas]]/$F$1,""))</f>
        <v>0</v>
      </c>
      <c r="G289" s="15" t="str">
        <f>IF(Tabla3[[#This Row],[Disponibilidad]]="","",IF(Tabla3[[#This Row],[Disponibilidad]]&gt;1,"NO",""))</f>
        <v/>
      </c>
      <c r="H289" t="str">
        <f>IFERROR(IF(VLOOKUP(Tabla3[[#This Row],[Fecha]],Tabla1[[Día]:[P/LC/CF/CL]],5,FALSE)="LC","SI",""),"")</f>
        <v/>
      </c>
      <c r="I289" s="22" t="str">
        <f>IFERROR(Tabla3[[#This Row],[Disponibilidad]]*Tabla3[[#This Row],[Rendimiento]], IF(Tabla3[[#This Row],[LC]]="SI", 0, "No"))</f>
        <v>No</v>
      </c>
      <c r="J289" s="16" t="str">
        <f>IF(Tabla3[[#This Row],[OEE]]="No","",WEEKNUM(Tabla3[[#This Row],[Fecha]]))</f>
        <v/>
      </c>
      <c r="K289" s="27" t="str">
        <f>IFERROR(IF(Tabla3[[#This Row],[OEE]]&lt;&gt;"No",Tabla3[[#This Row],[OEE]]/Tabla3[[#This Row],[Disponibilidad]],""),0)</f>
        <v/>
      </c>
    </row>
    <row r="290" spans="1:11" x14ac:dyDescent="0.25">
      <c r="A290" s="2">
        <v>45971</v>
      </c>
      <c r="B290" s="5">
        <f>SUMIFS('paradas-disp'!F:F,'paradas-disp'!A:A,Tabla3[[#This Row],[Fecha]])</f>
        <v>0</v>
      </c>
      <c r="C290" s="15">
        <f>SUMIFS('paradas-disp'!I:I,'paradas-disp'!A:A,Tabla3[[#This Row],[Fecha]])</f>
        <v>0</v>
      </c>
      <c r="D290" s="15">
        <f>IF(Tabla3[[#This Row],[Fecha]]&lt;53,"",IFERROR(((HOUR(Tabla3[[#This Row],[Horas]])*60+MINUTE(Tabla3[[#This Row],[Horas]]))/60)*$D$1,""))</f>
        <v>0</v>
      </c>
      <c r="E290" s="22" t="str">
        <f>IFERROR(Tabla3[[#This Row],[Cantidad producida]]/Tabla3[[#This Row],[Cantidad teórica]],"")</f>
        <v/>
      </c>
      <c r="F290" s="22">
        <f>IF(Tabla3[[#This Row],[Fecha]]&lt;53,"",IFERROR(Tabla3[[#This Row],[Horas]]/$F$1,""))</f>
        <v>0</v>
      </c>
      <c r="G290" s="15" t="str">
        <f>IF(Tabla3[[#This Row],[Disponibilidad]]="","",IF(Tabla3[[#This Row],[Disponibilidad]]&gt;1,"NO",""))</f>
        <v/>
      </c>
      <c r="H290" t="str">
        <f>IFERROR(IF(VLOOKUP(Tabla3[[#This Row],[Fecha]],Tabla1[[Día]:[P/LC/CF/CL]],5,FALSE)="LC","SI",""),"")</f>
        <v/>
      </c>
      <c r="I290" s="22" t="str">
        <f>IFERROR(Tabla3[[#This Row],[Disponibilidad]]*Tabla3[[#This Row],[Rendimiento]], IF(Tabla3[[#This Row],[LC]]="SI", 0, "No"))</f>
        <v>No</v>
      </c>
      <c r="J290" s="16" t="str">
        <f>IF(Tabla3[[#This Row],[OEE]]="No","",WEEKNUM(Tabla3[[#This Row],[Fecha]]))</f>
        <v/>
      </c>
      <c r="K290" s="27" t="str">
        <f>IFERROR(IF(Tabla3[[#This Row],[OEE]]&lt;&gt;"No",Tabla3[[#This Row],[OEE]]/Tabla3[[#This Row],[Disponibilidad]],""),0)</f>
        <v/>
      </c>
    </row>
    <row r="291" spans="1:11" x14ac:dyDescent="0.25">
      <c r="A291" s="2">
        <v>45972</v>
      </c>
      <c r="B291" s="5">
        <f>SUMIFS('paradas-disp'!F:F,'paradas-disp'!A:A,Tabla3[[#This Row],[Fecha]])</f>
        <v>0</v>
      </c>
      <c r="C291" s="15">
        <f>SUMIFS('paradas-disp'!I:I,'paradas-disp'!A:A,Tabla3[[#This Row],[Fecha]])</f>
        <v>0</v>
      </c>
      <c r="D291" s="15">
        <f>IF(Tabla3[[#This Row],[Fecha]]&lt;53,"",IFERROR(((HOUR(Tabla3[[#This Row],[Horas]])*60+MINUTE(Tabla3[[#This Row],[Horas]]))/60)*$D$1,""))</f>
        <v>0</v>
      </c>
      <c r="E291" s="22" t="str">
        <f>IFERROR(Tabla3[[#This Row],[Cantidad producida]]/Tabla3[[#This Row],[Cantidad teórica]],"")</f>
        <v/>
      </c>
      <c r="F291" s="22">
        <f>IF(Tabla3[[#This Row],[Fecha]]&lt;53,"",IFERROR(Tabla3[[#This Row],[Horas]]/$F$1,""))</f>
        <v>0</v>
      </c>
      <c r="G291" s="15" t="str">
        <f>IF(Tabla3[[#This Row],[Disponibilidad]]="","",IF(Tabla3[[#This Row],[Disponibilidad]]&gt;1,"NO",""))</f>
        <v/>
      </c>
      <c r="H291" t="str">
        <f>IFERROR(IF(VLOOKUP(Tabla3[[#This Row],[Fecha]],Tabla1[[Día]:[P/LC/CF/CL]],5,FALSE)="LC","SI",""),"")</f>
        <v/>
      </c>
      <c r="I291" s="22" t="str">
        <f>IFERROR(Tabla3[[#This Row],[Disponibilidad]]*Tabla3[[#This Row],[Rendimiento]], IF(Tabla3[[#This Row],[LC]]="SI", 0, "No"))</f>
        <v>No</v>
      </c>
      <c r="J291" s="16" t="str">
        <f>IF(Tabla3[[#This Row],[OEE]]="No","",WEEKNUM(Tabla3[[#This Row],[Fecha]]))</f>
        <v/>
      </c>
      <c r="K291" s="27" t="str">
        <f>IFERROR(IF(Tabla3[[#This Row],[OEE]]&lt;&gt;"No",Tabla3[[#This Row],[OEE]]/Tabla3[[#This Row],[Disponibilidad]],""),0)</f>
        <v/>
      </c>
    </row>
    <row r="292" spans="1:11" x14ac:dyDescent="0.25">
      <c r="A292" s="2">
        <v>45973</v>
      </c>
      <c r="B292" s="5">
        <f>SUMIFS('paradas-disp'!F:F,'paradas-disp'!A:A,Tabla3[[#This Row],[Fecha]])</f>
        <v>0</v>
      </c>
      <c r="C292" s="15">
        <f>SUMIFS('paradas-disp'!I:I,'paradas-disp'!A:A,Tabla3[[#This Row],[Fecha]])</f>
        <v>0</v>
      </c>
      <c r="D292" s="15">
        <f>IF(Tabla3[[#This Row],[Fecha]]&lt;53,"",IFERROR(((HOUR(Tabla3[[#This Row],[Horas]])*60+MINUTE(Tabla3[[#This Row],[Horas]]))/60)*$D$1,""))</f>
        <v>0</v>
      </c>
      <c r="E292" s="22" t="str">
        <f>IFERROR(Tabla3[[#This Row],[Cantidad producida]]/Tabla3[[#This Row],[Cantidad teórica]],"")</f>
        <v/>
      </c>
      <c r="F292" s="22">
        <f>IF(Tabla3[[#This Row],[Fecha]]&lt;53,"",IFERROR(Tabla3[[#This Row],[Horas]]/$F$1,""))</f>
        <v>0</v>
      </c>
      <c r="G292" s="15" t="str">
        <f>IF(Tabla3[[#This Row],[Disponibilidad]]="","",IF(Tabla3[[#This Row],[Disponibilidad]]&gt;1,"NO",""))</f>
        <v/>
      </c>
      <c r="H292" t="str">
        <f>IFERROR(IF(VLOOKUP(Tabla3[[#This Row],[Fecha]],Tabla1[[Día]:[P/LC/CF/CL]],5,FALSE)="LC","SI",""),"")</f>
        <v/>
      </c>
      <c r="I292" s="22" t="str">
        <f>IFERROR(Tabla3[[#This Row],[Disponibilidad]]*Tabla3[[#This Row],[Rendimiento]], IF(Tabla3[[#This Row],[LC]]="SI", 0, "No"))</f>
        <v>No</v>
      </c>
      <c r="J292" s="16" t="str">
        <f>IF(Tabla3[[#This Row],[OEE]]="No","",WEEKNUM(Tabla3[[#This Row],[Fecha]]))</f>
        <v/>
      </c>
      <c r="K292" s="27" t="str">
        <f>IFERROR(IF(Tabla3[[#This Row],[OEE]]&lt;&gt;"No",Tabla3[[#This Row],[OEE]]/Tabla3[[#This Row],[Disponibilidad]],""),0)</f>
        <v/>
      </c>
    </row>
    <row r="293" spans="1:11" x14ac:dyDescent="0.25">
      <c r="A293" s="2">
        <v>45974</v>
      </c>
      <c r="B293" s="5">
        <f>SUMIFS('paradas-disp'!F:F,'paradas-disp'!A:A,Tabla3[[#This Row],[Fecha]])</f>
        <v>0</v>
      </c>
      <c r="C293" s="15">
        <f>SUMIFS('paradas-disp'!I:I,'paradas-disp'!A:A,Tabla3[[#This Row],[Fecha]])</f>
        <v>0</v>
      </c>
      <c r="D293" s="15">
        <f>IF(Tabla3[[#This Row],[Fecha]]&lt;53,"",IFERROR(((HOUR(Tabla3[[#This Row],[Horas]])*60+MINUTE(Tabla3[[#This Row],[Horas]]))/60)*$D$1,""))</f>
        <v>0</v>
      </c>
      <c r="E293" s="22" t="str">
        <f>IFERROR(Tabla3[[#This Row],[Cantidad producida]]/Tabla3[[#This Row],[Cantidad teórica]],"")</f>
        <v/>
      </c>
      <c r="F293" s="22">
        <f>IF(Tabla3[[#This Row],[Fecha]]&lt;53,"",IFERROR(Tabla3[[#This Row],[Horas]]/$F$1,""))</f>
        <v>0</v>
      </c>
      <c r="G293" s="15" t="str">
        <f>IF(Tabla3[[#This Row],[Disponibilidad]]="","",IF(Tabla3[[#This Row],[Disponibilidad]]&gt;1,"NO",""))</f>
        <v/>
      </c>
      <c r="H293" t="str">
        <f>IFERROR(IF(VLOOKUP(Tabla3[[#This Row],[Fecha]],Tabla1[[Día]:[P/LC/CF/CL]],5,FALSE)="LC","SI",""),"")</f>
        <v/>
      </c>
      <c r="I293" s="22" t="str">
        <f>IFERROR(Tabla3[[#This Row],[Disponibilidad]]*Tabla3[[#This Row],[Rendimiento]], IF(Tabla3[[#This Row],[LC]]="SI", 0, "No"))</f>
        <v>No</v>
      </c>
      <c r="J293" s="16" t="str">
        <f>IF(Tabla3[[#This Row],[OEE]]="No","",WEEKNUM(Tabla3[[#This Row],[Fecha]]))</f>
        <v/>
      </c>
      <c r="K293" s="27" t="str">
        <f>IFERROR(IF(Tabla3[[#This Row],[OEE]]&lt;&gt;"No",Tabla3[[#This Row],[OEE]]/Tabla3[[#This Row],[Disponibilidad]],""),0)</f>
        <v/>
      </c>
    </row>
    <row r="294" spans="1:11" x14ac:dyDescent="0.25">
      <c r="A294" s="2">
        <v>45975</v>
      </c>
      <c r="B294" s="5">
        <f>SUMIFS('paradas-disp'!F:F,'paradas-disp'!A:A,Tabla3[[#This Row],[Fecha]])</f>
        <v>0</v>
      </c>
      <c r="C294" s="15">
        <f>SUMIFS('paradas-disp'!I:I,'paradas-disp'!A:A,Tabla3[[#This Row],[Fecha]])</f>
        <v>0</v>
      </c>
      <c r="D294" s="15">
        <f>IF(Tabla3[[#This Row],[Fecha]]&lt;53,"",IFERROR(((HOUR(Tabla3[[#This Row],[Horas]])*60+MINUTE(Tabla3[[#This Row],[Horas]]))/60)*$D$1,""))</f>
        <v>0</v>
      </c>
      <c r="E294" s="22" t="str">
        <f>IFERROR(Tabla3[[#This Row],[Cantidad producida]]/Tabla3[[#This Row],[Cantidad teórica]],"")</f>
        <v/>
      </c>
      <c r="F294" s="22">
        <f>IF(Tabla3[[#This Row],[Fecha]]&lt;53,"",IFERROR(Tabla3[[#This Row],[Horas]]/$F$1,""))</f>
        <v>0</v>
      </c>
      <c r="G294" s="15" t="str">
        <f>IF(Tabla3[[#This Row],[Disponibilidad]]="","",IF(Tabla3[[#This Row],[Disponibilidad]]&gt;1,"NO",""))</f>
        <v/>
      </c>
      <c r="H294" t="str">
        <f>IFERROR(IF(VLOOKUP(Tabla3[[#This Row],[Fecha]],Tabla1[[Día]:[P/LC/CF/CL]],5,FALSE)="LC","SI",""),"")</f>
        <v/>
      </c>
      <c r="I294" s="22" t="str">
        <f>IFERROR(Tabla3[[#This Row],[Disponibilidad]]*Tabla3[[#This Row],[Rendimiento]], IF(Tabla3[[#This Row],[LC]]="SI", 0, "No"))</f>
        <v>No</v>
      </c>
      <c r="J294" s="16" t="str">
        <f>IF(Tabla3[[#This Row],[OEE]]="No","",WEEKNUM(Tabla3[[#This Row],[Fecha]]))</f>
        <v/>
      </c>
      <c r="K294" s="27" t="str">
        <f>IFERROR(IF(Tabla3[[#This Row],[OEE]]&lt;&gt;"No",Tabla3[[#This Row],[OEE]]/Tabla3[[#This Row],[Disponibilidad]],""),0)</f>
        <v/>
      </c>
    </row>
    <row r="295" spans="1:11" x14ac:dyDescent="0.25">
      <c r="A295" s="2">
        <v>45976</v>
      </c>
      <c r="B295" s="5">
        <f>SUMIFS('paradas-disp'!F:F,'paradas-disp'!A:A,Tabla3[[#This Row],[Fecha]])</f>
        <v>0</v>
      </c>
      <c r="C295" s="15">
        <f>SUMIFS('paradas-disp'!I:I,'paradas-disp'!A:A,Tabla3[[#This Row],[Fecha]])</f>
        <v>0</v>
      </c>
      <c r="D295" s="15">
        <f>IF(Tabla3[[#This Row],[Fecha]]&lt;53,"",IFERROR(((HOUR(Tabla3[[#This Row],[Horas]])*60+MINUTE(Tabla3[[#This Row],[Horas]]))/60)*$D$1,""))</f>
        <v>0</v>
      </c>
      <c r="E295" s="22" t="str">
        <f>IFERROR(Tabla3[[#This Row],[Cantidad producida]]/Tabla3[[#This Row],[Cantidad teórica]],"")</f>
        <v/>
      </c>
      <c r="F295" s="22">
        <f>IF(Tabla3[[#This Row],[Fecha]]&lt;53,"",IFERROR(Tabla3[[#This Row],[Horas]]/$F$1,""))</f>
        <v>0</v>
      </c>
      <c r="G295" s="15" t="str">
        <f>IF(Tabla3[[#This Row],[Disponibilidad]]="","",IF(Tabla3[[#This Row],[Disponibilidad]]&gt;1,"NO",""))</f>
        <v/>
      </c>
      <c r="H295" t="str">
        <f>IFERROR(IF(VLOOKUP(Tabla3[[#This Row],[Fecha]],Tabla1[[Día]:[P/LC/CF/CL]],5,FALSE)="LC","SI",""),"")</f>
        <v/>
      </c>
      <c r="I295" s="22" t="str">
        <f>IFERROR(Tabla3[[#This Row],[Disponibilidad]]*Tabla3[[#This Row],[Rendimiento]], IF(Tabla3[[#This Row],[LC]]="SI", 0, "No"))</f>
        <v>No</v>
      </c>
      <c r="J295" s="16" t="str">
        <f>IF(Tabla3[[#This Row],[OEE]]="No","",WEEKNUM(Tabla3[[#This Row],[Fecha]]))</f>
        <v/>
      </c>
      <c r="K295" s="27" t="str">
        <f>IFERROR(IF(Tabla3[[#This Row],[OEE]]&lt;&gt;"No",Tabla3[[#This Row],[OEE]]/Tabla3[[#This Row],[Disponibilidad]],""),0)</f>
        <v/>
      </c>
    </row>
    <row r="296" spans="1:11" x14ac:dyDescent="0.25">
      <c r="A296" s="2">
        <v>45977</v>
      </c>
      <c r="B296" s="5">
        <f>SUMIFS('paradas-disp'!F:F,'paradas-disp'!A:A,Tabla3[[#This Row],[Fecha]])</f>
        <v>0</v>
      </c>
      <c r="C296" s="15">
        <f>SUMIFS('paradas-disp'!I:I,'paradas-disp'!A:A,Tabla3[[#This Row],[Fecha]])</f>
        <v>0</v>
      </c>
      <c r="D296" s="15">
        <f>IF(Tabla3[[#This Row],[Fecha]]&lt;53,"",IFERROR(((HOUR(Tabla3[[#This Row],[Horas]])*60+MINUTE(Tabla3[[#This Row],[Horas]]))/60)*$D$1,""))</f>
        <v>0</v>
      </c>
      <c r="E296" s="22" t="str">
        <f>IFERROR(Tabla3[[#This Row],[Cantidad producida]]/Tabla3[[#This Row],[Cantidad teórica]],"")</f>
        <v/>
      </c>
      <c r="F296" s="22">
        <f>IF(Tabla3[[#This Row],[Fecha]]&lt;53,"",IFERROR(Tabla3[[#This Row],[Horas]]/$F$1,""))</f>
        <v>0</v>
      </c>
      <c r="G296" s="15" t="str">
        <f>IF(Tabla3[[#This Row],[Disponibilidad]]="","",IF(Tabla3[[#This Row],[Disponibilidad]]&gt;1,"NO",""))</f>
        <v/>
      </c>
      <c r="H296" t="str">
        <f>IFERROR(IF(VLOOKUP(Tabla3[[#This Row],[Fecha]],Tabla1[[Día]:[P/LC/CF/CL]],5,FALSE)="LC","SI",""),"")</f>
        <v/>
      </c>
      <c r="I296" s="22" t="str">
        <f>IFERROR(Tabla3[[#This Row],[Disponibilidad]]*Tabla3[[#This Row],[Rendimiento]], IF(Tabla3[[#This Row],[LC]]="SI", 0, "No"))</f>
        <v>No</v>
      </c>
      <c r="J296" s="16" t="str">
        <f>IF(Tabla3[[#This Row],[OEE]]="No","",WEEKNUM(Tabla3[[#This Row],[Fecha]]))</f>
        <v/>
      </c>
      <c r="K296" s="27" t="str">
        <f>IFERROR(IF(Tabla3[[#This Row],[OEE]]&lt;&gt;"No",Tabla3[[#This Row],[OEE]]/Tabla3[[#This Row],[Disponibilidad]],""),0)</f>
        <v/>
      </c>
    </row>
    <row r="297" spans="1:11" x14ac:dyDescent="0.25">
      <c r="A297" s="2">
        <v>45978</v>
      </c>
      <c r="B297" s="5">
        <f>SUMIFS('paradas-disp'!F:F,'paradas-disp'!A:A,Tabla3[[#This Row],[Fecha]])</f>
        <v>0</v>
      </c>
      <c r="C297" s="15">
        <f>SUMIFS('paradas-disp'!I:I,'paradas-disp'!A:A,Tabla3[[#This Row],[Fecha]])</f>
        <v>0</v>
      </c>
      <c r="D297" s="15">
        <f>IF(Tabla3[[#This Row],[Fecha]]&lt;53,"",IFERROR(((HOUR(Tabla3[[#This Row],[Horas]])*60+MINUTE(Tabla3[[#This Row],[Horas]]))/60)*$D$1,""))</f>
        <v>0</v>
      </c>
      <c r="E297" s="22" t="str">
        <f>IFERROR(Tabla3[[#This Row],[Cantidad producida]]/Tabla3[[#This Row],[Cantidad teórica]],"")</f>
        <v/>
      </c>
      <c r="F297" s="22">
        <f>IF(Tabla3[[#This Row],[Fecha]]&lt;53,"",IFERROR(Tabla3[[#This Row],[Horas]]/$F$1,""))</f>
        <v>0</v>
      </c>
      <c r="G297" s="15" t="str">
        <f>IF(Tabla3[[#This Row],[Disponibilidad]]="","",IF(Tabla3[[#This Row],[Disponibilidad]]&gt;1,"NO",""))</f>
        <v/>
      </c>
      <c r="H297" t="str">
        <f>IFERROR(IF(VLOOKUP(Tabla3[[#This Row],[Fecha]],Tabla1[[Día]:[P/LC/CF/CL]],5,FALSE)="LC","SI",""),"")</f>
        <v/>
      </c>
      <c r="I297" s="22" t="str">
        <f>IFERROR(Tabla3[[#This Row],[Disponibilidad]]*Tabla3[[#This Row],[Rendimiento]], IF(Tabla3[[#This Row],[LC]]="SI", 0, "No"))</f>
        <v>No</v>
      </c>
      <c r="J297" s="16" t="str">
        <f>IF(Tabla3[[#This Row],[OEE]]="No","",WEEKNUM(Tabla3[[#This Row],[Fecha]]))</f>
        <v/>
      </c>
      <c r="K297" s="27" t="str">
        <f>IFERROR(IF(Tabla3[[#This Row],[OEE]]&lt;&gt;"No",Tabla3[[#This Row],[OEE]]/Tabla3[[#This Row],[Disponibilidad]],""),0)</f>
        <v/>
      </c>
    </row>
    <row r="298" spans="1:11" x14ac:dyDescent="0.25">
      <c r="A298" s="2">
        <v>45979</v>
      </c>
      <c r="B298" s="5">
        <f>SUMIFS('paradas-disp'!F:F,'paradas-disp'!A:A,Tabla3[[#This Row],[Fecha]])</f>
        <v>0</v>
      </c>
      <c r="C298" s="15">
        <f>SUMIFS('paradas-disp'!I:I,'paradas-disp'!A:A,Tabla3[[#This Row],[Fecha]])</f>
        <v>0</v>
      </c>
      <c r="D298" s="15">
        <f>IF(Tabla3[[#This Row],[Fecha]]&lt;53,"",IFERROR(((HOUR(Tabla3[[#This Row],[Horas]])*60+MINUTE(Tabla3[[#This Row],[Horas]]))/60)*$D$1,""))</f>
        <v>0</v>
      </c>
      <c r="E298" s="22" t="str">
        <f>IFERROR(Tabla3[[#This Row],[Cantidad producida]]/Tabla3[[#This Row],[Cantidad teórica]],"")</f>
        <v/>
      </c>
      <c r="F298" s="22">
        <f>IF(Tabla3[[#This Row],[Fecha]]&lt;53,"",IFERROR(Tabla3[[#This Row],[Horas]]/$F$1,""))</f>
        <v>0</v>
      </c>
      <c r="G298" s="15" t="str">
        <f>IF(Tabla3[[#This Row],[Disponibilidad]]="","",IF(Tabla3[[#This Row],[Disponibilidad]]&gt;1,"NO",""))</f>
        <v/>
      </c>
      <c r="H298" t="str">
        <f>IFERROR(IF(VLOOKUP(Tabla3[[#This Row],[Fecha]],Tabla1[[Día]:[P/LC/CF/CL]],5,FALSE)="LC","SI",""),"")</f>
        <v/>
      </c>
      <c r="I298" s="22" t="str">
        <f>IFERROR(Tabla3[[#This Row],[Disponibilidad]]*Tabla3[[#This Row],[Rendimiento]], IF(Tabla3[[#This Row],[LC]]="SI", 0, "No"))</f>
        <v>No</v>
      </c>
      <c r="J298" s="16" t="str">
        <f>IF(Tabla3[[#This Row],[OEE]]="No","",WEEKNUM(Tabla3[[#This Row],[Fecha]]))</f>
        <v/>
      </c>
      <c r="K298" s="27" t="str">
        <f>IFERROR(IF(Tabla3[[#This Row],[OEE]]&lt;&gt;"No",Tabla3[[#This Row],[OEE]]/Tabla3[[#This Row],[Disponibilidad]],""),0)</f>
        <v/>
      </c>
    </row>
    <row r="299" spans="1:11" x14ac:dyDescent="0.25">
      <c r="A299" s="2">
        <v>45980</v>
      </c>
      <c r="B299" s="5">
        <f>SUMIFS('paradas-disp'!F:F,'paradas-disp'!A:A,Tabla3[[#This Row],[Fecha]])</f>
        <v>0</v>
      </c>
      <c r="C299" s="15">
        <f>SUMIFS('paradas-disp'!I:I,'paradas-disp'!A:A,Tabla3[[#This Row],[Fecha]])</f>
        <v>0</v>
      </c>
      <c r="D299" s="15">
        <f>IF(Tabla3[[#This Row],[Fecha]]&lt;53,"",IFERROR(((HOUR(Tabla3[[#This Row],[Horas]])*60+MINUTE(Tabla3[[#This Row],[Horas]]))/60)*$D$1,""))</f>
        <v>0</v>
      </c>
      <c r="E299" s="22" t="str">
        <f>IFERROR(Tabla3[[#This Row],[Cantidad producida]]/Tabla3[[#This Row],[Cantidad teórica]],"")</f>
        <v/>
      </c>
      <c r="F299" s="22">
        <f>IF(Tabla3[[#This Row],[Fecha]]&lt;53,"",IFERROR(Tabla3[[#This Row],[Horas]]/$F$1,""))</f>
        <v>0</v>
      </c>
      <c r="G299" s="15" t="str">
        <f>IF(Tabla3[[#This Row],[Disponibilidad]]="","",IF(Tabla3[[#This Row],[Disponibilidad]]&gt;1,"NO",""))</f>
        <v/>
      </c>
      <c r="H299" t="str">
        <f>IFERROR(IF(VLOOKUP(Tabla3[[#This Row],[Fecha]],Tabla1[[Día]:[P/LC/CF/CL]],5,FALSE)="LC","SI",""),"")</f>
        <v/>
      </c>
      <c r="I299" s="22" t="str">
        <f>IFERROR(Tabla3[[#This Row],[Disponibilidad]]*Tabla3[[#This Row],[Rendimiento]], IF(Tabla3[[#This Row],[LC]]="SI", 0, "No"))</f>
        <v>No</v>
      </c>
      <c r="J299" s="16" t="str">
        <f>IF(Tabla3[[#This Row],[OEE]]="No","",WEEKNUM(Tabla3[[#This Row],[Fecha]]))</f>
        <v/>
      </c>
      <c r="K299" s="27" t="str">
        <f>IFERROR(IF(Tabla3[[#This Row],[OEE]]&lt;&gt;"No",Tabla3[[#This Row],[OEE]]/Tabla3[[#This Row],[Disponibilidad]],""),0)</f>
        <v/>
      </c>
    </row>
    <row r="300" spans="1:11" x14ac:dyDescent="0.25">
      <c r="A300" s="2">
        <v>45981</v>
      </c>
      <c r="B300" s="5">
        <f>SUMIFS('paradas-disp'!F:F,'paradas-disp'!A:A,Tabla3[[#This Row],[Fecha]])</f>
        <v>0</v>
      </c>
      <c r="C300" s="15">
        <f>SUMIFS('paradas-disp'!I:I,'paradas-disp'!A:A,Tabla3[[#This Row],[Fecha]])</f>
        <v>0</v>
      </c>
      <c r="D300" s="15">
        <f>IF(Tabla3[[#This Row],[Fecha]]&lt;53,"",IFERROR(((HOUR(Tabla3[[#This Row],[Horas]])*60+MINUTE(Tabla3[[#This Row],[Horas]]))/60)*$D$1,""))</f>
        <v>0</v>
      </c>
      <c r="E300" s="22" t="str">
        <f>IFERROR(Tabla3[[#This Row],[Cantidad producida]]/Tabla3[[#This Row],[Cantidad teórica]],"")</f>
        <v/>
      </c>
      <c r="F300" s="22">
        <f>IF(Tabla3[[#This Row],[Fecha]]&lt;53,"",IFERROR(Tabla3[[#This Row],[Horas]]/$F$1,""))</f>
        <v>0</v>
      </c>
      <c r="G300" s="15" t="str">
        <f>IF(Tabla3[[#This Row],[Disponibilidad]]="","",IF(Tabla3[[#This Row],[Disponibilidad]]&gt;1,"NO",""))</f>
        <v/>
      </c>
      <c r="H300" t="str">
        <f>IFERROR(IF(VLOOKUP(Tabla3[[#This Row],[Fecha]],Tabla1[[Día]:[P/LC/CF/CL]],5,FALSE)="LC","SI",""),"")</f>
        <v/>
      </c>
      <c r="I300" s="22" t="str">
        <f>IFERROR(Tabla3[[#This Row],[Disponibilidad]]*Tabla3[[#This Row],[Rendimiento]], IF(Tabla3[[#This Row],[LC]]="SI", 0, "No"))</f>
        <v>No</v>
      </c>
      <c r="J300" s="16" t="str">
        <f>IF(Tabla3[[#This Row],[OEE]]="No","",WEEKNUM(Tabla3[[#This Row],[Fecha]]))</f>
        <v/>
      </c>
      <c r="K300" s="27" t="str">
        <f>IFERROR(IF(Tabla3[[#This Row],[OEE]]&lt;&gt;"No",Tabla3[[#This Row],[OEE]]/Tabla3[[#This Row],[Disponibilidad]],""),0)</f>
        <v/>
      </c>
    </row>
    <row r="301" spans="1:11" x14ac:dyDescent="0.25">
      <c r="A301" s="2">
        <v>45982</v>
      </c>
      <c r="B301" s="5">
        <f>SUMIFS('paradas-disp'!F:F,'paradas-disp'!A:A,Tabla3[[#This Row],[Fecha]])</f>
        <v>0</v>
      </c>
      <c r="C301" s="15">
        <f>SUMIFS('paradas-disp'!I:I,'paradas-disp'!A:A,Tabla3[[#This Row],[Fecha]])</f>
        <v>0</v>
      </c>
      <c r="D301" s="15">
        <f>IF(Tabla3[[#This Row],[Fecha]]&lt;53,"",IFERROR(((HOUR(Tabla3[[#This Row],[Horas]])*60+MINUTE(Tabla3[[#This Row],[Horas]]))/60)*$D$1,""))</f>
        <v>0</v>
      </c>
      <c r="E301" s="22" t="str">
        <f>IFERROR(Tabla3[[#This Row],[Cantidad producida]]/Tabla3[[#This Row],[Cantidad teórica]],"")</f>
        <v/>
      </c>
      <c r="F301" s="22">
        <f>IF(Tabla3[[#This Row],[Fecha]]&lt;53,"",IFERROR(Tabla3[[#This Row],[Horas]]/$F$1,""))</f>
        <v>0</v>
      </c>
      <c r="G301" s="15" t="str">
        <f>IF(Tabla3[[#This Row],[Disponibilidad]]="","",IF(Tabla3[[#This Row],[Disponibilidad]]&gt;1,"NO",""))</f>
        <v/>
      </c>
      <c r="H301" t="str">
        <f>IFERROR(IF(VLOOKUP(Tabla3[[#This Row],[Fecha]],Tabla1[[Día]:[P/LC/CF/CL]],5,FALSE)="LC","SI",""),"")</f>
        <v/>
      </c>
      <c r="I301" s="22" t="str">
        <f>IFERROR(Tabla3[[#This Row],[Disponibilidad]]*Tabla3[[#This Row],[Rendimiento]], IF(Tabla3[[#This Row],[LC]]="SI", 0, "No"))</f>
        <v>No</v>
      </c>
      <c r="J301" s="16" t="str">
        <f>IF(Tabla3[[#This Row],[OEE]]="No","",WEEKNUM(Tabla3[[#This Row],[Fecha]]))</f>
        <v/>
      </c>
      <c r="K301" s="27" t="str">
        <f>IFERROR(IF(Tabla3[[#This Row],[OEE]]&lt;&gt;"No",Tabla3[[#This Row],[OEE]]/Tabla3[[#This Row],[Disponibilidad]],""),0)</f>
        <v/>
      </c>
    </row>
    <row r="302" spans="1:11" x14ac:dyDescent="0.25">
      <c r="A302" s="2">
        <v>45983</v>
      </c>
      <c r="B302" s="5">
        <f>SUMIFS('paradas-disp'!F:F,'paradas-disp'!A:A,Tabla3[[#This Row],[Fecha]])</f>
        <v>0</v>
      </c>
      <c r="C302" s="15">
        <f>SUMIFS('paradas-disp'!I:I,'paradas-disp'!A:A,Tabla3[[#This Row],[Fecha]])</f>
        <v>0</v>
      </c>
      <c r="D302" s="15">
        <f>IF(Tabla3[[#This Row],[Fecha]]&lt;53,"",IFERROR(((HOUR(Tabla3[[#This Row],[Horas]])*60+MINUTE(Tabla3[[#This Row],[Horas]]))/60)*$D$1,""))</f>
        <v>0</v>
      </c>
      <c r="E302" s="22" t="str">
        <f>IFERROR(Tabla3[[#This Row],[Cantidad producida]]/Tabla3[[#This Row],[Cantidad teórica]],"")</f>
        <v/>
      </c>
      <c r="F302" s="22">
        <f>IF(Tabla3[[#This Row],[Fecha]]&lt;53,"",IFERROR(Tabla3[[#This Row],[Horas]]/$F$1,""))</f>
        <v>0</v>
      </c>
      <c r="G302" s="15" t="str">
        <f>IF(Tabla3[[#This Row],[Disponibilidad]]="","",IF(Tabla3[[#This Row],[Disponibilidad]]&gt;1,"NO",""))</f>
        <v/>
      </c>
      <c r="H302" t="str">
        <f>IFERROR(IF(VLOOKUP(Tabla3[[#This Row],[Fecha]],Tabla1[[Día]:[P/LC/CF/CL]],5,FALSE)="LC","SI",""),"")</f>
        <v/>
      </c>
      <c r="I302" s="22" t="str">
        <f>IFERROR(Tabla3[[#This Row],[Disponibilidad]]*Tabla3[[#This Row],[Rendimiento]], IF(Tabla3[[#This Row],[LC]]="SI", 0, "No"))</f>
        <v>No</v>
      </c>
      <c r="J302" s="16" t="str">
        <f>IF(Tabla3[[#This Row],[OEE]]="No","",WEEKNUM(Tabla3[[#This Row],[Fecha]]))</f>
        <v/>
      </c>
      <c r="K302" s="27" t="str">
        <f>IFERROR(IF(Tabla3[[#This Row],[OEE]]&lt;&gt;"No",Tabla3[[#This Row],[OEE]]/Tabla3[[#This Row],[Disponibilidad]],""),0)</f>
        <v/>
      </c>
    </row>
    <row r="303" spans="1:11" x14ac:dyDescent="0.25">
      <c r="A303" s="2">
        <v>45984</v>
      </c>
      <c r="B303" s="5">
        <f>SUMIFS('paradas-disp'!F:F,'paradas-disp'!A:A,Tabla3[[#This Row],[Fecha]])</f>
        <v>0</v>
      </c>
      <c r="C303" s="15">
        <f>SUMIFS('paradas-disp'!I:I,'paradas-disp'!A:A,Tabla3[[#This Row],[Fecha]])</f>
        <v>0</v>
      </c>
      <c r="D303" s="15">
        <f>IF(Tabla3[[#This Row],[Fecha]]&lt;53,"",IFERROR(((HOUR(Tabla3[[#This Row],[Horas]])*60+MINUTE(Tabla3[[#This Row],[Horas]]))/60)*$D$1,""))</f>
        <v>0</v>
      </c>
      <c r="E303" s="22" t="str">
        <f>IFERROR(Tabla3[[#This Row],[Cantidad producida]]/Tabla3[[#This Row],[Cantidad teórica]],"")</f>
        <v/>
      </c>
      <c r="F303" s="22">
        <f>IF(Tabla3[[#This Row],[Fecha]]&lt;53,"",IFERROR(Tabla3[[#This Row],[Horas]]/$F$1,""))</f>
        <v>0</v>
      </c>
      <c r="G303" s="15" t="str">
        <f>IF(Tabla3[[#This Row],[Disponibilidad]]="","",IF(Tabla3[[#This Row],[Disponibilidad]]&gt;1,"NO",""))</f>
        <v/>
      </c>
      <c r="H303" t="str">
        <f>IFERROR(IF(VLOOKUP(Tabla3[[#This Row],[Fecha]],Tabla1[[Día]:[P/LC/CF/CL]],5,FALSE)="LC","SI",""),"")</f>
        <v/>
      </c>
      <c r="I303" s="22" t="str">
        <f>IFERROR(Tabla3[[#This Row],[Disponibilidad]]*Tabla3[[#This Row],[Rendimiento]], IF(Tabla3[[#This Row],[LC]]="SI", 0, "No"))</f>
        <v>No</v>
      </c>
      <c r="J303" s="16" t="str">
        <f>IF(Tabla3[[#This Row],[OEE]]="No","",WEEKNUM(Tabla3[[#This Row],[Fecha]]))</f>
        <v/>
      </c>
      <c r="K303" s="27" t="str">
        <f>IFERROR(IF(Tabla3[[#This Row],[OEE]]&lt;&gt;"No",Tabla3[[#This Row],[OEE]]/Tabla3[[#This Row],[Disponibilidad]],""),0)</f>
        <v/>
      </c>
    </row>
    <row r="304" spans="1:11" x14ac:dyDescent="0.25">
      <c r="A304" s="2">
        <v>45985</v>
      </c>
      <c r="B304" s="5">
        <f>SUMIFS('paradas-disp'!F:F,'paradas-disp'!A:A,Tabla3[[#This Row],[Fecha]])</f>
        <v>0</v>
      </c>
      <c r="C304" s="15">
        <f>SUMIFS('paradas-disp'!I:I,'paradas-disp'!A:A,Tabla3[[#This Row],[Fecha]])</f>
        <v>0</v>
      </c>
      <c r="D304" s="15">
        <f>IF(Tabla3[[#This Row],[Fecha]]&lt;53,"",IFERROR(((HOUR(Tabla3[[#This Row],[Horas]])*60+MINUTE(Tabla3[[#This Row],[Horas]]))/60)*$D$1,""))</f>
        <v>0</v>
      </c>
      <c r="E304" s="22" t="str">
        <f>IFERROR(Tabla3[[#This Row],[Cantidad producida]]/Tabla3[[#This Row],[Cantidad teórica]],"")</f>
        <v/>
      </c>
      <c r="F304" s="22">
        <f>IF(Tabla3[[#This Row],[Fecha]]&lt;53,"",IFERROR(Tabla3[[#This Row],[Horas]]/$F$1,""))</f>
        <v>0</v>
      </c>
      <c r="G304" s="15" t="str">
        <f>IF(Tabla3[[#This Row],[Disponibilidad]]="","",IF(Tabla3[[#This Row],[Disponibilidad]]&gt;1,"NO",""))</f>
        <v/>
      </c>
      <c r="H304" t="str">
        <f>IFERROR(IF(VLOOKUP(Tabla3[[#This Row],[Fecha]],Tabla1[[Día]:[P/LC/CF/CL]],5,FALSE)="LC","SI",""),"")</f>
        <v/>
      </c>
      <c r="I304" s="22" t="str">
        <f>IFERROR(Tabla3[[#This Row],[Disponibilidad]]*Tabla3[[#This Row],[Rendimiento]], IF(Tabla3[[#This Row],[LC]]="SI", 0, "No"))</f>
        <v>No</v>
      </c>
      <c r="J304" s="16" t="str">
        <f>IF(Tabla3[[#This Row],[OEE]]="No","",WEEKNUM(Tabla3[[#This Row],[Fecha]]))</f>
        <v/>
      </c>
      <c r="K304" s="27" t="str">
        <f>IFERROR(IF(Tabla3[[#This Row],[OEE]]&lt;&gt;"No",Tabla3[[#This Row],[OEE]]/Tabla3[[#This Row],[Disponibilidad]],""),0)</f>
        <v/>
      </c>
    </row>
    <row r="305" spans="1:11" x14ac:dyDescent="0.25">
      <c r="A305" s="2">
        <v>45986</v>
      </c>
      <c r="B305" s="5">
        <f>SUMIFS('paradas-disp'!F:F,'paradas-disp'!A:A,Tabla3[[#This Row],[Fecha]])</f>
        <v>0</v>
      </c>
      <c r="C305" s="15">
        <f>SUMIFS('paradas-disp'!I:I,'paradas-disp'!A:A,Tabla3[[#This Row],[Fecha]])</f>
        <v>0</v>
      </c>
      <c r="D305" s="15">
        <f>IF(Tabla3[[#This Row],[Fecha]]&lt;53,"",IFERROR(((HOUR(Tabla3[[#This Row],[Horas]])*60+MINUTE(Tabla3[[#This Row],[Horas]]))/60)*$D$1,""))</f>
        <v>0</v>
      </c>
      <c r="E305" s="22" t="str">
        <f>IFERROR(Tabla3[[#This Row],[Cantidad producida]]/Tabla3[[#This Row],[Cantidad teórica]],"")</f>
        <v/>
      </c>
      <c r="F305" s="22">
        <f>IF(Tabla3[[#This Row],[Fecha]]&lt;53,"",IFERROR(Tabla3[[#This Row],[Horas]]/$F$1,""))</f>
        <v>0</v>
      </c>
      <c r="G305" s="15" t="str">
        <f>IF(Tabla3[[#This Row],[Disponibilidad]]="","",IF(Tabla3[[#This Row],[Disponibilidad]]&gt;1,"NO",""))</f>
        <v/>
      </c>
      <c r="H305" t="str">
        <f>IFERROR(IF(VLOOKUP(Tabla3[[#This Row],[Fecha]],Tabla1[[Día]:[P/LC/CF/CL]],5,FALSE)="LC","SI",""),"")</f>
        <v/>
      </c>
      <c r="I305" s="22" t="str">
        <f>IFERROR(Tabla3[[#This Row],[Disponibilidad]]*Tabla3[[#This Row],[Rendimiento]], IF(Tabla3[[#This Row],[LC]]="SI", 0, "No"))</f>
        <v>No</v>
      </c>
      <c r="J305" s="16" t="str">
        <f>IF(Tabla3[[#This Row],[OEE]]="No","",WEEKNUM(Tabla3[[#This Row],[Fecha]]))</f>
        <v/>
      </c>
      <c r="K305" s="27" t="str">
        <f>IFERROR(IF(Tabla3[[#This Row],[OEE]]&lt;&gt;"No",Tabla3[[#This Row],[OEE]]/Tabla3[[#This Row],[Disponibilidad]],""),0)</f>
        <v/>
      </c>
    </row>
    <row r="306" spans="1:11" x14ac:dyDescent="0.25">
      <c r="A306" s="2">
        <v>45987</v>
      </c>
      <c r="B306" s="5">
        <f>SUMIFS('paradas-disp'!F:F,'paradas-disp'!A:A,Tabla3[[#This Row],[Fecha]])</f>
        <v>0</v>
      </c>
      <c r="C306" s="15">
        <f>SUMIFS('paradas-disp'!I:I,'paradas-disp'!A:A,Tabla3[[#This Row],[Fecha]])</f>
        <v>0</v>
      </c>
      <c r="D306" s="15">
        <f>IF(Tabla3[[#This Row],[Fecha]]&lt;53,"",IFERROR(((HOUR(Tabla3[[#This Row],[Horas]])*60+MINUTE(Tabla3[[#This Row],[Horas]]))/60)*$D$1,""))</f>
        <v>0</v>
      </c>
      <c r="E306" s="22" t="str">
        <f>IFERROR(Tabla3[[#This Row],[Cantidad producida]]/Tabla3[[#This Row],[Cantidad teórica]],"")</f>
        <v/>
      </c>
      <c r="F306" s="22">
        <f>IF(Tabla3[[#This Row],[Fecha]]&lt;53,"",IFERROR(Tabla3[[#This Row],[Horas]]/$F$1,""))</f>
        <v>0</v>
      </c>
      <c r="G306" s="15" t="str">
        <f>IF(Tabla3[[#This Row],[Disponibilidad]]="","",IF(Tabla3[[#This Row],[Disponibilidad]]&gt;1,"NO",""))</f>
        <v/>
      </c>
      <c r="H306" t="str">
        <f>IFERROR(IF(VLOOKUP(Tabla3[[#This Row],[Fecha]],Tabla1[[Día]:[P/LC/CF/CL]],5,FALSE)="LC","SI",""),"")</f>
        <v/>
      </c>
      <c r="I306" s="22" t="str">
        <f>IFERROR(Tabla3[[#This Row],[Disponibilidad]]*Tabla3[[#This Row],[Rendimiento]], IF(Tabla3[[#This Row],[LC]]="SI", 0, "No"))</f>
        <v>No</v>
      </c>
      <c r="J306" s="16" t="str">
        <f>IF(Tabla3[[#This Row],[OEE]]="No","",WEEKNUM(Tabla3[[#This Row],[Fecha]]))</f>
        <v/>
      </c>
      <c r="K306" s="27" t="str">
        <f>IFERROR(IF(Tabla3[[#This Row],[OEE]]&lt;&gt;"No",Tabla3[[#This Row],[OEE]]/Tabla3[[#This Row],[Disponibilidad]],""),0)</f>
        <v/>
      </c>
    </row>
    <row r="307" spans="1:11" x14ac:dyDescent="0.25">
      <c r="A307" s="2">
        <v>45988</v>
      </c>
      <c r="B307" s="5">
        <f>SUMIFS('paradas-disp'!F:F,'paradas-disp'!A:A,Tabla3[[#This Row],[Fecha]])</f>
        <v>0</v>
      </c>
      <c r="C307" s="15">
        <f>SUMIFS('paradas-disp'!I:I,'paradas-disp'!A:A,Tabla3[[#This Row],[Fecha]])</f>
        <v>0</v>
      </c>
      <c r="D307" s="15">
        <f>IF(Tabla3[[#This Row],[Fecha]]&lt;53,"",IFERROR(((HOUR(Tabla3[[#This Row],[Horas]])*60+MINUTE(Tabla3[[#This Row],[Horas]]))/60)*$D$1,""))</f>
        <v>0</v>
      </c>
      <c r="E307" s="22" t="str">
        <f>IFERROR(Tabla3[[#This Row],[Cantidad producida]]/Tabla3[[#This Row],[Cantidad teórica]],"")</f>
        <v/>
      </c>
      <c r="F307" s="22">
        <f>IF(Tabla3[[#This Row],[Fecha]]&lt;53,"",IFERROR(Tabla3[[#This Row],[Horas]]/$F$1,""))</f>
        <v>0</v>
      </c>
      <c r="G307" s="15" t="str">
        <f>IF(Tabla3[[#This Row],[Disponibilidad]]="","",IF(Tabla3[[#This Row],[Disponibilidad]]&gt;1,"NO",""))</f>
        <v/>
      </c>
      <c r="H307" t="str">
        <f>IFERROR(IF(VLOOKUP(Tabla3[[#This Row],[Fecha]],Tabla1[[Día]:[P/LC/CF/CL]],5,FALSE)="LC","SI",""),"")</f>
        <v/>
      </c>
      <c r="I307" s="22" t="str">
        <f>IFERROR(Tabla3[[#This Row],[Disponibilidad]]*Tabla3[[#This Row],[Rendimiento]], IF(Tabla3[[#This Row],[LC]]="SI", 0, "No"))</f>
        <v>No</v>
      </c>
      <c r="J307" s="16" t="str">
        <f>IF(Tabla3[[#This Row],[OEE]]="No","",WEEKNUM(Tabla3[[#This Row],[Fecha]]))</f>
        <v/>
      </c>
      <c r="K307" s="27" t="str">
        <f>IFERROR(IF(Tabla3[[#This Row],[OEE]]&lt;&gt;"No",Tabla3[[#This Row],[OEE]]/Tabla3[[#This Row],[Disponibilidad]],""),0)</f>
        <v/>
      </c>
    </row>
    <row r="308" spans="1:11" x14ac:dyDescent="0.25">
      <c r="A308" s="2">
        <v>45989</v>
      </c>
      <c r="B308" s="5">
        <f>SUMIFS('paradas-disp'!F:F,'paradas-disp'!A:A,Tabla3[[#This Row],[Fecha]])</f>
        <v>0</v>
      </c>
      <c r="C308" s="15">
        <f>SUMIFS('paradas-disp'!I:I,'paradas-disp'!A:A,Tabla3[[#This Row],[Fecha]])</f>
        <v>0</v>
      </c>
      <c r="D308" s="15">
        <f>IF(Tabla3[[#This Row],[Fecha]]&lt;53,"",IFERROR(((HOUR(Tabla3[[#This Row],[Horas]])*60+MINUTE(Tabla3[[#This Row],[Horas]]))/60)*$D$1,""))</f>
        <v>0</v>
      </c>
      <c r="E308" s="22" t="str">
        <f>IFERROR(Tabla3[[#This Row],[Cantidad producida]]/Tabla3[[#This Row],[Cantidad teórica]],"")</f>
        <v/>
      </c>
      <c r="F308" s="22">
        <f>IF(Tabla3[[#This Row],[Fecha]]&lt;53,"",IFERROR(Tabla3[[#This Row],[Horas]]/$F$1,""))</f>
        <v>0</v>
      </c>
      <c r="G308" s="15" t="str">
        <f>IF(Tabla3[[#This Row],[Disponibilidad]]="","",IF(Tabla3[[#This Row],[Disponibilidad]]&gt;1,"NO",""))</f>
        <v/>
      </c>
      <c r="H308" t="str">
        <f>IFERROR(IF(VLOOKUP(Tabla3[[#This Row],[Fecha]],Tabla1[[Día]:[P/LC/CF/CL]],5,FALSE)="LC","SI",""),"")</f>
        <v/>
      </c>
      <c r="I308" s="22" t="str">
        <f>IFERROR(Tabla3[[#This Row],[Disponibilidad]]*Tabla3[[#This Row],[Rendimiento]], IF(Tabla3[[#This Row],[LC]]="SI", 0, "No"))</f>
        <v>No</v>
      </c>
      <c r="J308" s="16" t="str">
        <f>IF(Tabla3[[#This Row],[OEE]]="No","",WEEKNUM(Tabla3[[#This Row],[Fecha]]))</f>
        <v/>
      </c>
      <c r="K308" s="27" t="str">
        <f>IFERROR(IF(Tabla3[[#This Row],[OEE]]&lt;&gt;"No",Tabla3[[#This Row],[OEE]]/Tabla3[[#This Row],[Disponibilidad]],""),0)</f>
        <v/>
      </c>
    </row>
    <row r="309" spans="1:11" x14ac:dyDescent="0.25">
      <c r="A309" s="2">
        <v>45990</v>
      </c>
      <c r="B309" s="5">
        <f>SUMIFS('paradas-disp'!F:F,'paradas-disp'!A:A,Tabla3[[#This Row],[Fecha]])</f>
        <v>0</v>
      </c>
      <c r="C309" s="15">
        <f>SUMIFS('paradas-disp'!I:I,'paradas-disp'!A:A,Tabla3[[#This Row],[Fecha]])</f>
        <v>0</v>
      </c>
      <c r="D309" s="15">
        <f>IF(Tabla3[[#This Row],[Fecha]]&lt;53,"",IFERROR(((HOUR(Tabla3[[#This Row],[Horas]])*60+MINUTE(Tabla3[[#This Row],[Horas]]))/60)*$D$1,""))</f>
        <v>0</v>
      </c>
      <c r="E309" s="22" t="str">
        <f>IFERROR(Tabla3[[#This Row],[Cantidad producida]]/Tabla3[[#This Row],[Cantidad teórica]],"")</f>
        <v/>
      </c>
      <c r="F309" s="22">
        <f>IF(Tabla3[[#This Row],[Fecha]]&lt;53,"",IFERROR(Tabla3[[#This Row],[Horas]]/$F$1,""))</f>
        <v>0</v>
      </c>
      <c r="G309" s="15" t="str">
        <f>IF(Tabla3[[#This Row],[Disponibilidad]]="","",IF(Tabla3[[#This Row],[Disponibilidad]]&gt;1,"NO",""))</f>
        <v/>
      </c>
      <c r="H309" t="str">
        <f>IFERROR(IF(VLOOKUP(Tabla3[[#This Row],[Fecha]],Tabla1[[Día]:[P/LC/CF/CL]],5,FALSE)="LC","SI",""),"")</f>
        <v/>
      </c>
      <c r="I309" s="22" t="str">
        <f>IFERROR(Tabla3[[#This Row],[Disponibilidad]]*Tabla3[[#This Row],[Rendimiento]], IF(Tabla3[[#This Row],[LC]]="SI", 0, "No"))</f>
        <v>No</v>
      </c>
      <c r="J309" s="16" t="str">
        <f>IF(Tabla3[[#This Row],[OEE]]="No","",WEEKNUM(Tabla3[[#This Row],[Fecha]]))</f>
        <v/>
      </c>
      <c r="K309" s="27" t="str">
        <f>IFERROR(IF(Tabla3[[#This Row],[OEE]]&lt;&gt;"No",Tabla3[[#This Row],[OEE]]/Tabla3[[#This Row],[Disponibilidad]],""),0)</f>
        <v/>
      </c>
    </row>
    <row r="310" spans="1:11" x14ac:dyDescent="0.25">
      <c r="A310" s="2">
        <v>45991</v>
      </c>
      <c r="B310" s="5">
        <f>SUMIFS('paradas-disp'!F:F,'paradas-disp'!A:A,Tabla3[[#This Row],[Fecha]])</f>
        <v>0</v>
      </c>
      <c r="C310" s="15">
        <f>SUMIFS('paradas-disp'!I:I,'paradas-disp'!A:A,Tabla3[[#This Row],[Fecha]])</f>
        <v>0</v>
      </c>
      <c r="D310" s="15">
        <f>IF(Tabla3[[#This Row],[Fecha]]&lt;53,"",IFERROR(((HOUR(Tabla3[[#This Row],[Horas]])*60+MINUTE(Tabla3[[#This Row],[Horas]]))/60)*$D$1,""))</f>
        <v>0</v>
      </c>
      <c r="E310" s="22" t="str">
        <f>IFERROR(Tabla3[[#This Row],[Cantidad producida]]/Tabla3[[#This Row],[Cantidad teórica]],"")</f>
        <v/>
      </c>
      <c r="F310" s="22">
        <f>IF(Tabla3[[#This Row],[Fecha]]&lt;53,"",IFERROR(Tabla3[[#This Row],[Horas]]/$F$1,""))</f>
        <v>0</v>
      </c>
      <c r="G310" s="15" t="str">
        <f>IF(Tabla3[[#This Row],[Disponibilidad]]="","",IF(Tabla3[[#This Row],[Disponibilidad]]&gt;1,"NO",""))</f>
        <v/>
      </c>
      <c r="H310" t="str">
        <f>IFERROR(IF(VLOOKUP(Tabla3[[#This Row],[Fecha]],Tabla1[[Día]:[P/LC/CF/CL]],5,FALSE)="LC","SI",""),"")</f>
        <v/>
      </c>
      <c r="I310" s="22" t="str">
        <f>IFERROR(Tabla3[[#This Row],[Disponibilidad]]*Tabla3[[#This Row],[Rendimiento]], IF(Tabla3[[#This Row],[LC]]="SI", 0, "No"))</f>
        <v>No</v>
      </c>
      <c r="J310" s="16" t="str">
        <f>IF(Tabla3[[#This Row],[OEE]]="No","",WEEKNUM(Tabla3[[#This Row],[Fecha]]))</f>
        <v/>
      </c>
      <c r="K310" s="27" t="str">
        <f>IFERROR(IF(Tabla3[[#This Row],[OEE]]&lt;&gt;"No",Tabla3[[#This Row],[OEE]]/Tabla3[[#This Row],[Disponibilidad]],""),0)</f>
        <v/>
      </c>
    </row>
    <row r="311" spans="1:11" x14ac:dyDescent="0.25">
      <c r="A311" s="2">
        <v>45992</v>
      </c>
      <c r="B311" s="5">
        <f>SUMIFS('paradas-disp'!F:F,'paradas-disp'!A:A,Tabla3[[#This Row],[Fecha]])</f>
        <v>0</v>
      </c>
      <c r="C311" s="15">
        <f>SUMIFS('paradas-disp'!I:I,'paradas-disp'!A:A,Tabla3[[#This Row],[Fecha]])</f>
        <v>0</v>
      </c>
      <c r="D311" s="15">
        <f>IF(Tabla3[[#This Row],[Fecha]]&lt;53,"",IFERROR(((HOUR(Tabla3[[#This Row],[Horas]])*60+MINUTE(Tabla3[[#This Row],[Horas]]))/60)*$D$1,""))</f>
        <v>0</v>
      </c>
      <c r="E311" s="22" t="str">
        <f>IFERROR(Tabla3[[#This Row],[Cantidad producida]]/Tabla3[[#This Row],[Cantidad teórica]],"")</f>
        <v/>
      </c>
      <c r="F311" s="22">
        <f>IF(Tabla3[[#This Row],[Fecha]]&lt;53,"",IFERROR(Tabla3[[#This Row],[Horas]]/$F$1,""))</f>
        <v>0</v>
      </c>
      <c r="G311" s="15" t="str">
        <f>IF(Tabla3[[#This Row],[Disponibilidad]]="","",IF(Tabla3[[#This Row],[Disponibilidad]]&gt;1,"NO",""))</f>
        <v/>
      </c>
      <c r="H311" t="str">
        <f>IFERROR(IF(VLOOKUP(Tabla3[[#This Row],[Fecha]],Tabla1[[Día]:[P/LC/CF/CL]],5,FALSE)="LC","SI",""),"")</f>
        <v/>
      </c>
      <c r="I311" s="22" t="str">
        <f>IFERROR(Tabla3[[#This Row],[Disponibilidad]]*Tabla3[[#This Row],[Rendimiento]], IF(Tabla3[[#This Row],[LC]]="SI", 0, "No"))</f>
        <v>No</v>
      </c>
      <c r="J311" s="16" t="str">
        <f>IF(Tabla3[[#This Row],[OEE]]="No","",WEEKNUM(Tabla3[[#This Row],[Fecha]]))</f>
        <v/>
      </c>
      <c r="K311" s="27" t="str">
        <f>IFERROR(IF(Tabla3[[#This Row],[OEE]]&lt;&gt;"No",Tabla3[[#This Row],[OEE]]/Tabla3[[#This Row],[Disponibilidad]],""),0)</f>
        <v/>
      </c>
    </row>
    <row r="312" spans="1:11" x14ac:dyDescent="0.25">
      <c r="A312" s="2">
        <v>45993</v>
      </c>
      <c r="B312" s="5">
        <f>SUMIFS('paradas-disp'!F:F,'paradas-disp'!A:A,Tabla3[[#This Row],[Fecha]])</f>
        <v>0</v>
      </c>
      <c r="C312" s="15">
        <f>SUMIFS('paradas-disp'!I:I,'paradas-disp'!A:A,Tabla3[[#This Row],[Fecha]])</f>
        <v>0</v>
      </c>
      <c r="D312" s="15">
        <f>IF(Tabla3[[#This Row],[Fecha]]&lt;53,"",IFERROR(((HOUR(Tabla3[[#This Row],[Horas]])*60+MINUTE(Tabla3[[#This Row],[Horas]]))/60)*$D$1,""))</f>
        <v>0</v>
      </c>
      <c r="E312" s="22" t="str">
        <f>IFERROR(Tabla3[[#This Row],[Cantidad producida]]/Tabla3[[#This Row],[Cantidad teórica]],"")</f>
        <v/>
      </c>
      <c r="F312" s="22">
        <f>IF(Tabla3[[#This Row],[Fecha]]&lt;53,"",IFERROR(Tabla3[[#This Row],[Horas]]/$F$1,""))</f>
        <v>0</v>
      </c>
      <c r="G312" s="15" t="str">
        <f>IF(Tabla3[[#This Row],[Disponibilidad]]="","",IF(Tabla3[[#This Row],[Disponibilidad]]&gt;1,"NO",""))</f>
        <v/>
      </c>
      <c r="H312" t="str">
        <f>IFERROR(IF(VLOOKUP(Tabla3[[#This Row],[Fecha]],Tabla1[[Día]:[P/LC/CF/CL]],5,FALSE)="LC","SI",""),"")</f>
        <v/>
      </c>
      <c r="I312" s="22" t="str">
        <f>IFERROR(Tabla3[[#This Row],[Disponibilidad]]*Tabla3[[#This Row],[Rendimiento]], IF(Tabla3[[#This Row],[LC]]="SI", 0, "No"))</f>
        <v>No</v>
      </c>
      <c r="J312" s="16" t="str">
        <f>IF(Tabla3[[#This Row],[OEE]]="No","",WEEKNUM(Tabla3[[#This Row],[Fecha]]))</f>
        <v/>
      </c>
      <c r="K312" s="27" t="str">
        <f>IFERROR(IF(Tabla3[[#This Row],[OEE]]&lt;&gt;"No",Tabla3[[#This Row],[OEE]]/Tabla3[[#This Row],[Disponibilidad]],""),0)</f>
        <v/>
      </c>
    </row>
    <row r="313" spans="1:11" x14ac:dyDescent="0.25">
      <c r="A313" s="2">
        <v>45994</v>
      </c>
      <c r="B313" s="5">
        <f>SUMIFS('paradas-disp'!F:F,'paradas-disp'!A:A,Tabla3[[#This Row],[Fecha]])</f>
        <v>0</v>
      </c>
      <c r="C313" s="15">
        <f>SUMIFS('paradas-disp'!I:I,'paradas-disp'!A:A,Tabla3[[#This Row],[Fecha]])</f>
        <v>0</v>
      </c>
      <c r="D313" s="15">
        <f>IF(Tabla3[[#This Row],[Fecha]]&lt;53,"",IFERROR(((HOUR(Tabla3[[#This Row],[Horas]])*60+MINUTE(Tabla3[[#This Row],[Horas]]))/60)*$D$1,""))</f>
        <v>0</v>
      </c>
      <c r="E313" s="22" t="str">
        <f>IFERROR(Tabla3[[#This Row],[Cantidad producida]]/Tabla3[[#This Row],[Cantidad teórica]],"")</f>
        <v/>
      </c>
      <c r="F313" s="22">
        <f>IF(Tabla3[[#This Row],[Fecha]]&lt;53,"",IFERROR(Tabla3[[#This Row],[Horas]]/$F$1,""))</f>
        <v>0</v>
      </c>
      <c r="G313" s="15" t="str">
        <f>IF(Tabla3[[#This Row],[Disponibilidad]]="","",IF(Tabla3[[#This Row],[Disponibilidad]]&gt;1,"NO",""))</f>
        <v/>
      </c>
      <c r="H313" t="str">
        <f>IFERROR(IF(VLOOKUP(Tabla3[[#This Row],[Fecha]],Tabla1[[Día]:[P/LC/CF/CL]],5,FALSE)="LC","SI",""),"")</f>
        <v/>
      </c>
      <c r="I313" s="22" t="str">
        <f>IFERROR(Tabla3[[#This Row],[Disponibilidad]]*Tabla3[[#This Row],[Rendimiento]], IF(Tabla3[[#This Row],[LC]]="SI", 0, "No"))</f>
        <v>No</v>
      </c>
      <c r="J313" s="16" t="str">
        <f>IF(Tabla3[[#This Row],[OEE]]="No","",WEEKNUM(Tabla3[[#This Row],[Fecha]]))</f>
        <v/>
      </c>
      <c r="K313" s="27" t="str">
        <f>IFERROR(IF(Tabla3[[#This Row],[OEE]]&lt;&gt;"No",Tabla3[[#This Row],[OEE]]/Tabla3[[#This Row],[Disponibilidad]],""),0)</f>
        <v/>
      </c>
    </row>
    <row r="314" spans="1:11" x14ac:dyDescent="0.25">
      <c r="A314" s="2">
        <v>45995</v>
      </c>
      <c r="B314" s="5">
        <f>SUMIFS('paradas-disp'!F:F,'paradas-disp'!A:A,Tabla3[[#This Row],[Fecha]])</f>
        <v>0</v>
      </c>
      <c r="C314" s="15">
        <f>SUMIFS('paradas-disp'!I:I,'paradas-disp'!A:A,Tabla3[[#This Row],[Fecha]])</f>
        <v>0</v>
      </c>
      <c r="D314" s="15">
        <f>IF(Tabla3[[#This Row],[Fecha]]&lt;53,"",IFERROR(((HOUR(Tabla3[[#This Row],[Horas]])*60+MINUTE(Tabla3[[#This Row],[Horas]]))/60)*$D$1,""))</f>
        <v>0</v>
      </c>
      <c r="E314" s="22" t="str">
        <f>IFERROR(Tabla3[[#This Row],[Cantidad producida]]/Tabla3[[#This Row],[Cantidad teórica]],"")</f>
        <v/>
      </c>
      <c r="F314" s="22">
        <f>IF(Tabla3[[#This Row],[Fecha]]&lt;53,"",IFERROR(Tabla3[[#This Row],[Horas]]/$F$1,""))</f>
        <v>0</v>
      </c>
      <c r="G314" s="15" t="str">
        <f>IF(Tabla3[[#This Row],[Disponibilidad]]="","",IF(Tabla3[[#This Row],[Disponibilidad]]&gt;1,"NO",""))</f>
        <v/>
      </c>
      <c r="H314" t="str">
        <f>IFERROR(IF(VLOOKUP(Tabla3[[#This Row],[Fecha]],Tabla1[[Día]:[P/LC/CF/CL]],5,FALSE)="LC","SI",""),"")</f>
        <v/>
      </c>
      <c r="I314" s="22" t="str">
        <f>IFERROR(Tabla3[[#This Row],[Disponibilidad]]*Tabla3[[#This Row],[Rendimiento]], IF(Tabla3[[#This Row],[LC]]="SI", 0, "No"))</f>
        <v>No</v>
      </c>
      <c r="J314" s="16" t="str">
        <f>IF(Tabla3[[#This Row],[OEE]]="No","",WEEKNUM(Tabla3[[#This Row],[Fecha]]))</f>
        <v/>
      </c>
      <c r="K314" s="27" t="str">
        <f>IFERROR(IF(Tabla3[[#This Row],[OEE]]&lt;&gt;"No",Tabla3[[#This Row],[OEE]]/Tabla3[[#This Row],[Disponibilidad]],""),0)</f>
        <v/>
      </c>
    </row>
    <row r="315" spans="1:11" x14ac:dyDescent="0.25">
      <c r="A315" s="2">
        <v>45996</v>
      </c>
      <c r="B315" s="5">
        <f>SUMIFS('paradas-disp'!F:F,'paradas-disp'!A:A,Tabla3[[#This Row],[Fecha]])</f>
        <v>0</v>
      </c>
      <c r="C315" s="15">
        <f>SUMIFS('paradas-disp'!I:I,'paradas-disp'!A:A,Tabla3[[#This Row],[Fecha]])</f>
        <v>0</v>
      </c>
      <c r="D315" s="15">
        <f>IF(Tabla3[[#This Row],[Fecha]]&lt;53,"",IFERROR(((HOUR(Tabla3[[#This Row],[Horas]])*60+MINUTE(Tabla3[[#This Row],[Horas]]))/60)*$D$1,""))</f>
        <v>0</v>
      </c>
      <c r="E315" s="22" t="str">
        <f>IFERROR(Tabla3[[#This Row],[Cantidad producida]]/Tabla3[[#This Row],[Cantidad teórica]],"")</f>
        <v/>
      </c>
      <c r="F315" s="22">
        <f>IF(Tabla3[[#This Row],[Fecha]]&lt;53,"",IFERROR(Tabla3[[#This Row],[Horas]]/$F$1,""))</f>
        <v>0</v>
      </c>
      <c r="G315" s="15" t="str">
        <f>IF(Tabla3[[#This Row],[Disponibilidad]]="","",IF(Tabla3[[#This Row],[Disponibilidad]]&gt;1,"NO",""))</f>
        <v/>
      </c>
      <c r="H315" t="str">
        <f>IFERROR(IF(VLOOKUP(Tabla3[[#This Row],[Fecha]],Tabla1[[Día]:[P/LC/CF/CL]],5,FALSE)="LC","SI",""),"")</f>
        <v/>
      </c>
      <c r="I315" s="22" t="str">
        <f>IFERROR(Tabla3[[#This Row],[Disponibilidad]]*Tabla3[[#This Row],[Rendimiento]], IF(Tabla3[[#This Row],[LC]]="SI", 0, "No"))</f>
        <v>No</v>
      </c>
      <c r="J315" s="16" t="str">
        <f>IF(Tabla3[[#This Row],[OEE]]="No","",WEEKNUM(Tabla3[[#This Row],[Fecha]]))</f>
        <v/>
      </c>
      <c r="K315" s="27" t="str">
        <f>IFERROR(IF(Tabla3[[#This Row],[OEE]]&lt;&gt;"No",Tabla3[[#This Row],[OEE]]/Tabla3[[#This Row],[Disponibilidad]],""),0)</f>
        <v/>
      </c>
    </row>
    <row r="316" spans="1:11" x14ac:dyDescent="0.25">
      <c r="A316" s="2">
        <v>45997</v>
      </c>
      <c r="B316" s="5">
        <f>SUMIFS('paradas-disp'!F:F,'paradas-disp'!A:A,Tabla3[[#This Row],[Fecha]])</f>
        <v>0</v>
      </c>
      <c r="C316" s="15">
        <f>SUMIFS('paradas-disp'!I:I,'paradas-disp'!A:A,Tabla3[[#This Row],[Fecha]])</f>
        <v>0</v>
      </c>
      <c r="D316" s="15">
        <f>IF(Tabla3[[#This Row],[Fecha]]&lt;53,"",IFERROR(((HOUR(Tabla3[[#This Row],[Horas]])*60+MINUTE(Tabla3[[#This Row],[Horas]]))/60)*$D$1,""))</f>
        <v>0</v>
      </c>
      <c r="E316" s="22" t="str">
        <f>IFERROR(Tabla3[[#This Row],[Cantidad producida]]/Tabla3[[#This Row],[Cantidad teórica]],"")</f>
        <v/>
      </c>
      <c r="F316" s="22">
        <f>IF(Tabla3[[#This Row],[Fecha]]&lt;53,"",IFERROR(Tabla3[[#This Row],[Horas]]/$F$1,""))</f>
        <v>0</v>
      </c>
      <c r="G316" s="15" t="str">
        <f>IF(Tabla3[[#This Row],[Disponibilidad]]="","",IF(Tabla3[[#This Row],[Disponibilidad]]&gt;1,"NO",""))</f>
        <v/>
      </c>
      <c r="H316" t="str">
        <f>IFERROR(IF(VLOOKUP(Tabla3[[#This Row],[Fecha]],Tabla1[[Día]:[P/LC/CF/CL]],5,FALSE)="LC","SI",""),"")</f>
        <v/>
      </c>
      <c r="I316" s="22" t="str">
        <f>IFERROR(Tabla3[[#This Row],[Disponibilidad]]*Tabla3[[#This Row],[Rendimiento]], IF(Tabla3[[#This Row],[LC]]="SI", 0, "No"))</f>
        <v>No</v>
      </c>
      <c r="J316" s="16" t="str">
        <f>IF(Tabla3[[#This Row],[OEE]]="No","",WEEKNUM(Tabla3[[#This Row],[Fecha]]))</f>
        <v/>
      </c>
      <c r="K316" s="27" t="str">
        <f>IFERROR(IF(Tabla3[[#This Row],[OEE]]&lt;&gt;"No",Tabla3[[#This Row],[OEE]]/Tabla3[[#This Row],[Disponibilidad]],""),0)</f>
        <v/>
      </c>
    </row>
    <row r="317" spans="1:11" x14ac:dyDescent="0.25">
      <c r="A317" s="2">
        <v>45998</v>
      </c>
      <c r="B317" s="5">
        <f>SUMIFS('paradas-disp'!F:F,'paradas-disp'!A:A,Tabla3[[#This Row],[Fecha]])</f>
        <v>0</v>
      </c>
      <c r="C317" s="15">
        <f>SUMIFS('paradas-disp'!I:I,'paradas-disp'!A:A,Tabla3[[#This Row],[Fecha]])</f>
        <v>0</v>
      </c>
      <c r="D317" s="15">
        <f>IF(Tabla3[[#This Row],[Fecha]]&lt;53,"",IFERROR(((HOUR(Tabla3[[#This Row],[Horas]])*60+MINUTE(Tabla3[[#This Row],[Horas]]))/60)*$D$1,""))</f>
        <v>0</v>
      </c>
      <c r="E317" s="22" t="str">
        <f>IFERROR(Tabla3[[#This Row],[Cantidad producida]]/Tabla3[[#This Row],[Cantidad teórica]],"")</f>
        <v/>
      </c>
      <c r="F317" s="22">
        <f>IF(Tabla3[[#This Row],[Fecha]]&lt;53,"",IFERROR(Tabla3[[#This Row],[Horas]]/$F$1,""))</f>
        <v>0</v>
      </c>
      <c r="G317" s="15" t="str">
        <f>IF(Tabla3[[#This Row],[Disponibilidad]]="","",IF(Tabla3[[#This Row],[Disponibilidad]]&gt;1,"NO",""))</f>
        <v/>
      </c>
      <c r="H317" t="str">
        <f>IFERROR(IF(VLOOKUP(Tabla3[[#This Row],[Fecha]],Tabla1[[Día]:[P/LC/CF/CL]],5,FALSE)="LC","SI",""),"")</f>
        <v/>
      </c>
      <c r="I317" s="22" t="str">
        <f>IFERROR(Tabla3[[#This Row],[Disponibilidad]]*Tabla3[[#This Row],[Rendimiento]], IF(Tabla3[[#This Row],[LC]]="SI", 0, "No"))</f>
        <v>No</v>
      </c>
      <c r="J317" s="16" t="str">
        <f>IF(Tabla3[[#This Row],[OEE]]="No","",WEEKNUM(Tabla3[[#This Row],[Fecha]]))</f>
        <v/>
      </c>
      <c r="K317" s="27" t="str">
        <f>IFERROR(IF(Tabla3[[#This Row],[OEE]]&lt;&gt;"No",Tabla3[[#This Row],[OEE]]/Tabla3[[#This Row],[Disponibilidad]],""),0)</f>
        <v/>
      </c>
    </row>
    <row r="318" spans="1:11" x14ac:dyDescent="0.25">
      <c r="A318" s="2">
        <v>45999</v>
      </c>
      <c r="B318" s="5">
        <f>SUMIFS('paradas-disp'!F:F,'paradas-disp'!A:A,Tabla3[[#This Row],[Fecha]])</f>
        <v>0</v>
      </c>
      <c r="C318" s="15">
        <f>SUMIFS('paradas-disp'!I:I,'paradas-disp'!A:A,Tabla3[[#This Row],[Fecha]])</f>
        <v>0</v>
      </c>
      <c r="D318" s="15">
        <f>IF(Tabla3[[#This Row],[Fecha]]&lt;53,"",IFERROR(((HOUR(Tabla3[[#This Row],[Horas]])*60+MINUTE(Tabla3[[#This Row],[Horas]]))/60)*$D$1,""))</f>
        <v>0</v>
      </c>
      <c r="E318" s="22" t="str">
        <f>IFERROR(Tabla3[[#This Row],[Cantidad producida]]/Tabla3[[#This Row],[Cantidad teórica]],"")</f>
        <v/>
      </c>
      <c r="F318" s="22">
        <f>IF(Tabla3[[#This Row],[Fecha]]&lt;53,"",IFERROR(Tabla3[[#This Row],[Horas]]/$F$1,""))</f>
        <v>0</v>
      </c>
      <c r="G318" s="15" t="str">
        <f>IF(Tabla3[[#This Row],[Disponibilidad]]="","",IF(Tabla3[[#This Row],[Disponibilidad]]&gt;1,"NO",""))</f>
        <v/>
      </c>
      <c r="H318" t="str">
        <f>IFERROR(IF(VLOOKUP(Tabla3[[#This Row],[Fecha]],Tabla1[[Día]:[P/LC/CF/CL]],5,FALSE)="LC","SI",""),"")</f>
        <v/>
      </c>
      <c r="I318" s="22" t="str">
        <f>IFERROR(Tabla3[[#This Row],[Disponibilidad]]*Tabla3[[#This Row],[Rendimiento]], IF(Tabla3[[#This Row],[LC]]="SI", 0, "No"))</f>
        <v>No</v>
      </c>
      <c r="J318" s="16" t="str">
        <f>IF(Tabla3[[#This Row],[OEE]]="No","",WEEKNUM(Tabla3[[#This Row],[Fecha]]))</f>
        <v/>
      </c>
      <c r="K318" s="27" t="str">
        <f>IFERROR(IF(Tabla3[[#This Row],[OEE]]&lt;&gt;"No",Tabla3[[#This Row],[OEE]]/Tabla3[[#This Row],[Disponibilidad]],""),0)</f>
        <v/>
      </c>
    </row>
    <row r="319" spans="1:11" x14ac:dyDescent="0.25">
      <c r="A319" s="2">
        <v>46000</v>
      </c>
      <c r="B319" s="5">
        <f>SUMIFS('paradas-disp'!F:F,'paradas-disp'!A:A,Tabla3[[#This Row],[Fecha]])</f>
        <v>0</v>
      </c>
      <c r="C319" s="15">
        <f>SUMIFS('paradas-disp'!I:I,'paradas-disp'!A:A,Tabla3[[#This Row],[Fecha]])</f>
        <v>0</v>
      </c>
      <c r="D319" s="15">
        <f>IF(Tabla3[[#This Row],[Fecha]]&lt;53,"",IFERROR(((HOUR(Tabla3[[#This Row],[Horas]])*60+MINUTE(Tabla3[[#This Row],[Horas]]))/60)*$D$1,""))</f>
        <v>0</v>
      </c>
      <c r="E319" s="22" t="str">
        <f>IFERROR(Tabla3[[#This Row],[Cantidad producida]]/Tabla3[[#This Row],[Cantidad teórica]],"")</f>
        <v/>
      </c>
      <c r="F319" s="22">
        <f>IF(Tabla3[[#This Row],[Fecha]]&lt;53,"",IFERROR(Tabla3[[#This Row],[Horas]]/$F$1,""))</f>
        <v>0</v>
      </c>
      <c r="G319" s="15" t="str">
        <f>IF(Tabla3[[#This Row],[Disponibilidad]]="","",IF(Tabla3[[#This Row],[Disponibilidad]]&gt;1,"NO",""))</f>
        <v/>
      </c>
      <c r="H319" t="str">
        <f>IFERROR(IF(VLOOKUP(Tabla3[[#This Row],[Fecha]],Tabla1[[Día]:[P/LC/CF/CL]],5,FALSE)="LC","SI",""),"")</f>
        <v/>
      </c>
      <c r="I319" s="22" t="str">
        <f>IFERROR(Tabla3[[#This Row],[Disponibilidad]]*Tabla3[[#This Row],[Rendimiento]], IF(Tabla3[[#This Row],[LC]]="SI", 0, "No"))</f>
        <v>No</v>
      </c>
      <c r="J319" s="16" t="str">
        <f>IF(Tabla3[[#This Row],[OEE]]="No","",WEEKNUM(Tabla3[[#This Row],[Fecha]]))</f>
        <v/>
      </c>
      <c r="K319" s="27" t="str">
        <f>IFERROR(IF(Tabla3[[#This Row],[OEE]]&lt;&gt;"No",Tabla3[[#This Row],[OEE]]/Tabla3[[#This Row],[Disponibilidad]],""),0)</f>
        <v/>
      </c>
    </row>
    <row r="320" spans="1:11" x14ac:dyDescent="0.25">
      <c r="A320" s="2">
        <v>46001</v>
      </c>
      <c r="B320" s="5">
        <f>SUMIFS('paradas-disp'!F:F,'paradas-disp'!A:A,Tabla3[[#This Row],[Fecha]])</f>
        <v>0</v>
      </c>
      <c r="C320" s="15">
        <f>SUMIFS('paradas-disp'!I:I,'paradas-disp'!A:A,Tabla3[[#This Row],[Fecha]])</f>
        <v>0</v>
      </c>
      <c r="D320" s="15">
        <f>IF(Tabla3[[#This Row],[Fecha]]&lt;53,"",IFERROR(((HOUR(Tabla3[[#This Row],[Horas]])*60+MINUTE(Tabla3[[#This Row],[Horas]]))/60)*$D$1,""))</f>
        <v>0</v>
      </c>
      <c r="E320" s="22" t="str">
        <f>IFERROR(Tabla3[[#This Row],[Cantidad producida]]/Tabla3[[#This Row],[Cantidad teórica]],"")</f>
        <v/>
      </c>
      <c r="F320" s="22">
        <f>IF(Tabla3[[#This Row],[Fecha]]&lt;53,"",IFERROR(Tabla3[[#This Row],[Horas]]/$F$1,""))</f>
        <v>0</v>
      </c>
      <c r="G320" s="15" t="str">
        <f>IF(Tabla3[[#This Row],[Disponibilidad]]="","",IF(Tabla3[[#This Row],[Disponibilidad]]&gt;1,"NO",""))</f>
        <v/>
      </c>
      <c r="H320" t="str">
        <f>IFERROR(IF(VLOOKUP(Tabla3[[#This Row],[Fecha]],Tabla1[[Día]:[P/LC/CF/CL]],5,FALSE)="LC","SI",""),"")</f>
        <v/>
      </c>
      <c r="I320" s="22" t="str">
        <f>IFERROR(Tabla3[[#This Row],[Disponibilidad]]*Tabla3[[#This Row],[Rendimiento]], IF(Tabla3[[#This Row],[LC]]="SI", 0, "No"))</f>
        <v>No</v>
      </c>
      <c r="J320" s="16" t="str">
        <f>IF(Tabla3[[#This Row],[OEE]]="No","",WEEKNUM(Tabla3[[#This Row],[Fecha]]))</f>
        <v/>
      </c>
      <c r="K320" s="27" t="str">
        <f>IFERROR(IF(Tabla3[[#This Row],[OEE]]&lt;&gt;"No",Tabla3[[#This Row],[OEE]]/Tabla3[[#This Row],[Disponibilidad]],""),0)</f>
        <v/>
      </c>
    </row>
    <row r="321" spans="1:11" x14ac:dyDescent="0.25">
      <c r="A321" s="2">
        <v>46002</v>
      </c>
      <c r="B321" s="5">
        <f>SUMIFS('paradas-disp'!F:F,'paradas-disp'!A:A,Tabla3[[#This Row],[Fecha]])</f>
        <v>0</v>
      </c>
      <c r="C321" s="15">
        <f>SUMIFS('paradas-disp'!I:I,'paradas-disp'!A:A,Tabla3[[#This Row],[Fecha]])</f>
        <v>0</v>
      </c>
      <c r="D321" s="15">
        <f>IF(Tabla3[[#This Row],[Fecha]]&lt;53,"",IFERROR(((HOUR(Tabla3[[#This Row],[Horas]])*60+MINUTE(Tabla3[[#This Row],[Horas]]))/60)*$D$1,""))</f>
        <v>0</v>
      </c>
      <c r="E321" s="22" t="str">
        <f>IFERROR(Tabla3[[#This Row],[Cantidad producida]]/Tabla3[[#This Row],[Cantidad teórica]],"")</f>
        <v/>
      </c>
      <c r="F321" s="22">
        <f>IF(Tabla3[[#This Row],[Fecha]]&lt;53,"",IFERROR(Tabla3[[#This Row],[Horas]]/$F$1,""))</f>
        <v>0</v>
      </c>
      <c r="G321" s="15" t="str">
        <f>IF(Tabla3[[#This Row],[Disponibilidad]]="","",IF(Tabla3[[#This Row],[Disponibilidad]]&gt;1,"NO",""))</f>
        <v/>
      </c>
      <c r="H321" t="str">
        <f>IFERROR(IF(VLOOKUP(Tabla3[[#This Row],[Fecha]],Tabla1[[Día]:[P/LC/CF/CL]],5,FALSE)="LC","SI",""),"")</f>
        <v/>
      </c>
      <c r="I321" s="22" t="str">
        <f>IFERROR(Tabla3[[#This Row],[Disponibilidad]]*Tabla3[[#This Row],[Rendimiento]], IF(Tabla3[[#This Row],[LC]]="SI", 0, "No"))</f>
        <v>No</v>
      </c>
      <c r="J321" s="16" t="str">
        <f>IF(Tabla3[[#This Row],[OEE]]="No","",WEEKNUM(Tabla3[[#This Row],[Fecha]]))</f>
        <v/>
      </c>
      <c r="K321" s="27" t="str">
        <f>IFERROR(IF(Tabla3[[#This Row],[OEE]]&lt;&gt;"No",Tabla3[[#This Row],[OEE]]/Tabla3[[#This Row],[Disponibilidad]],""),0)</f>
        <v/>
      </c>
    </row>
    <row r="322" spans="1:11" x14ac:dyDescent="0.25">
      <c r="A322" s="2">
        <v>46003</v>
      </c>
      <c r="B322" s="5">
        <f>SUMIFS('paradas-disp'!F:F,'paradas-disp'!A:A,Tabla3[[#This Row],[Fecha]])</f>
        <v>0</v>
      </c>
      <c r="C322" s="15">
        <f>SUMIFS('paradas-disp'!I:I,'paradas-disp'!A:A,Tabla3[[#This Row],[Fecha]])</f>
        <v>0</v>
      </c>
      <c r="D322" s="15">
        <f>IF(Tabla3[[#This Row],[Fecha]]&lt;53,"",IFERROR(((HOUR(Tabla3[[#This Row],[Horas]])*60+MINUTE(Tabla3[[#This Row],[Horas]]))/60)*$D$1,""))</f>
        <v>0</v>
      </c>
      <c r="E322" s="22" t="str">
        <f>IFERROR(Tabla3[[#This Row],[Cantidad producida]]/Tabla3[[#This Row],[Cantidad teórica]],"")</f>
        <v/>
      </c>
      <c r="F322" s="22">
        <f>IF(Tabla3[[#This Row],[Fecha]]&lt;53,"",IFERROR(Tabla3[[#This Row],[Horas]]/$F$1,""))</f>
        <v>0</v>
      </c>
      <c r="G322" s="15" t="str">
        <f>IF(Tabla3[[#This Row],[Disponibilidad]]="","",IF(Tabla3[[#This Row],[Disponibilidad]]&gt;1,"NO",""))</f>
        <v/>
      </c>
      <c r="H322" t="str">
        <f>IFERROR(IF(VLOOKUP(Tabla3[[#This Row],[Fecha]],Tabla1[[Día]:[P/LC/CF/CL]],5,FALSE)="LC","SI",""),"")</f>
        <v/>
      </c>
      <c r="I322" s="22" t="str">
        <f>IFERROR(Tabla3[[#This Row],[Disponibilidad]]*Tabla3[[#This Row],[Rendimiento]], IF(Tabla3[[#This Row],[LC]]="SI", 0, "No"))</f>
        <v>No</v>
      </c>
      <c r="J322" s="16" t="str">
        <f>IF(Tabla3[[#This Row],[OEE]]="No","",WEEKNUM(Tabla3[[#This Row],[Fecha]]))</f>
        <v/>
      </c>
      <c r="K322" s="27" t="str">
        <f>IFERROR(IF(Tabla3[[#This Row],[OEE]]&lt;&gt;"No",Tabla3[[#This Row],[OEE]]/Tabla3[[#This Row],[Disponibilidad]],""),0)</f>
        <v/>
      </c>
    </row>
    <row r="323" spans="1:11" x14ac:dyDescent="0.25">
      <c r="A323" s="2">
        <v>46004</v>
      </c>
      <c r="B323" s="5">
        <f>SUMIFS('paradas-disp'!F:F,'paradas-disp'!A:A,Tabla3[[#This Row],[Fecha]])</f>
        <v>0</v>
      </c>
      <c r="C323" s="15">
        <f>SUMIFS('paradas-disp'!I:I,'paradas-disp'!A:A,Tabla3[[#This Row],[Fecha]])</f>
        <v>0</v>
      </c>
      <c r="D323" s="15">
        <f>IF(Tabla3[[#This Row],[Fecha]]&lt;53,"",IFERROR(((HOUR(Tabla3[[#This Row],[Horas]])*60+MINUTE(Tabla3[[#This Row],[Horas]]))/60)*$D$1,""))</f>
        <v>0</v>
      </c>
      <c r="E323" s="22" t="str">
        <f>IFERROR(Tabla3[[#This Row],[Cantidad producida]]/Tabla3[[#This Row],[Cantidad teórica]],"")</f>
        <v/>
      </c>
      <c r="F323" s="22">
        <f>IF(Tabla3[[#This Row],[Fecha]]&lt;53,"",IFERROR(Tabla3[[#This Row],[Horas]]/$F$1,""))</f>
        <v>0</v>
      </c>
      <c r="G323" s="15" t="str">
        <f>IF(Tabla3[[#This Row],[Disponibilidad]]="","",IF(Tabla3[[#This Row],[Disponibilidad]]&gt;1,"NO",""))</f>
        <v/>
      </c>
      <c r="H323" t="str">
        <f>IFERROR(IF(VLOOKUP(Tabla3[[#This Row],[Fecha]],Tabla1[[Día]:[P/LC/CF/CL]],5,FALSE)="LC","SI",""),"")</f>
        <v/>
      </c>
      <c r="I323" s="22" t="str">
        <f>IFERROR(Tabla3[[#This Row],[Disponibilidad]]*Tabla3[[#This Row],[Rendimiento]], IF(Tabla3[[#This Row],[LC]]="SI", 0, "No"))</f>
        <v>No</v>
      </c>
      <c r="J323" s="16" t="str">
        <f>IF(Tabla3[[#This Row],[OEE]]="No","",WEEKNUM(Tabla3[[#This Row],[Fecha]]))</f>
        <v/>
      </c>
      <c r="K323" s="27" t="str">
        <f>IFERROR(IF(Tabla3[[#This Row],[OEE]]&lt;&gt;"No",Tabla3[[#This Row],[OEE]]/Tabla3[[#This Row],[Disponibilidad]],""),0)</f>
        <v/>
      </c>
    </row>
    <row r="324" spans="1:11" x14ac:dyDescent="0.25">
      <c r="A324" s="2">
        <v>46005</v>
      </c>
      <c r="B324" s="5">
        <f>SUMIFS('paradas-disp'!F:F,'paradas-disp'!A:A,Tabla3[[#This Row],[Fecha]])</f>
        <v>0</v>
      </c>
      <c r="C324" s="15">
        <f>SUMIFS('paradas-disp'!I:I,'paradas-disp'!A:A,Tabla3[[#This Row],[Fecha]])</f>
        <v>0</v>
      </c>
      <c r="D324" s="15">
        <f>IF(Tabla3[[#This Row],[Fecha]]&lt;53,"",IFERROR(((HOUR(Tabla3[[#This Row],[Horas]])*60+MINUTE(Tabla3[[#This Row],[Horas]]))/60)*$D$1,""))</f>
        <v>0</v>
      </c>
      <c r="E324" s="22" t="str">
        <f>IFERROR(Tabla3[[#This Row],[Cantidad producida]]/Tabla3[[#This Row],[Cantidad teórica]],"")</f>
        <v/>
      </c>
      <c r="F324" s="22">
        <f>IF(Tabla3[[#This Row],[Fecha]]&lt;53,"",IFERROR(Tabla3[[#This Row],[Horas]]/$F$1,""))</f>
        <v>0</v>
      </c>
      <c r="G324" s="15" t="str">
        <f>IF(Tabla3[[#This Row],[Disponibilidad]]="","",IF(Tabla3[[#This Row],[Disponibilidad]]&gt;1,"NO",""))</f>
        <v/>
      </c>
      <c r="H324" t="str">
        <f>IFERROR(IF(VLOOKUP(Tabla3[[#This Row],[Fecha]],Tabla1[[Día]:[P/LC/CF/CL]],5,FALSE)="LC","SI",""),"")</f>
        <v/>
      </c>
      <c r="I324" s="22" t="str">
        <f>IFERROR(Tabla3[[#This Row],[Disponibilidad]]*Tabla3[[#This Row],[Rendimiento]], IF(Tabla3[[#This Row],[LC]]="SI", 0, "No"))</f>
        <v>No</v>
      </c>
      <c r="J324" s="16" t="str">
        <f>IF(Tabla3[[#This Row],[OEE]]="No","",WEEKNUM(Tabla3[[#This Row],[Fecha]]))</f>
        <v/>
      </c>
      <c r="K324" s="27" t="str">
        <f>IFERROR(IF(Tabla3[[#This Row],[OEE]]&lt;&gt;"No",Tabla3[[#This Row],[OEE]]/Tabla3[[#This Row],[Disponibilidad]],""),0)</f>
        <v/>
      </c>
    </row>
    <row r="325" spans="1:11" x14ac:dyDescent="0.25">
      <c r="A325" s="2">
        <v>46006</v>
      </c>
      <c r="B325" s="5">
        <f>SUMIFS('paradas-disp'!F:F,'paradas-disp'!A:A,Tabla3[[#This Row],[Fecha]])</f>
        <v>0</v>
      </c>
      <c r="C325" s="15">
        <f>SUMIFS('paradas-disp'!I:I,'paradas-disp'!A:A,Tabla3[[#This Row],[Fecha]])</f>
        <v>0</v>
      </c>
      <c r="D325" s="15">
        <f>IF(Tabla3[[#This Row],[Fecha]]&lt;53,"",IFERROR(((HOUR(Tabla3[[#This Row],[Horas]])*60+MINUTE(Tabla3[[#This Row],[Horas]]))/60)*$D$1,""))</f>
        <v>0</v>
      </c>
      <c r="E325" s="22" t="str">
        <f>IFERROR(Tabla3[[#This Row],[Cantidad producida]]/Tabla3[[#This Row],[Cantidad teórica]],"")</f>
        <v/>
      </c>
      <c r="F325" s="22">
        <f>IF(Tabla3[[#This Row],[Fecha]]&lt;53,"",IFERROR(Tabla3[[#This Row],[Horas]]/$F$1,""))</f>
        <v>0</v>
      </c>
      <c r="G325" s="15" t="str">
        <f>IF(Tabla3[[#This Row],[Disponibilidad]]="","",IF(Tabla3[[#This Row],[Disponibilidad]]&gt;1,"NO",""))</f>
        <v/>
      </c>
      <c r="H325" t="str">
        <f>IFERROR(IF(VLOOKUP(Tabla3[[#This Row],[Fecha]],Tabla1[[Día]:[P/LC/CF/CL]],5,FALSE)="LC","SI",""),"")</f>
        <v/>
      </c>
      <c r="I325" s="22" t="str">
        <f>IFERROR(Tabla3[[#This Row],[Disponibilidad]]*Tabla3[[#This Row],[Rendimiento]], IF(Tabla3[[#This Row],[LC]]="SI", 0, "No"))</f>
        <v>No</v>
      </c>
      <c r="J325" s="16" t="str">
        <f>IF(Tabla3[[#This Row],[OEE]]="No","",WEEKNUM(Tabla3[[#This Row],[Fecha]]))</f>
        <v/>
      </c>
      <c r="K325" s="27" t="str">
        <f>IFERROR(IF(Tabla3[[#This Row],[OEE]]&lt;&gt;"No",Tabla3[[#This Row],[OEE]]/Tabla3[[#This Row],[Disponibilidad]],""),0)</f>
        <v/>
      </c>
    </row>
    <row r="326" spans="1:11" x14ac:dyDescent="0.25">
      <c r="A326" s="2">
        <v>46007</v>
      </c>
      <c r="B326" s="5">
        <f>SUMIFS('paradas-disp'!F:F,'paradas-disp'!A:A,Tabla3[[#This Row],[Fecha]])</f>
        <v>0</v>
      </c>
      <c r="C326" s="15">
        <f>SUMIFS('paradas-disp'!I:I,'paradas-disp'!A:A,Tabla3[[#This Row],[Fecha]])</f>
        <v>0</v>
      </c>
      <c r="D326" s="15">
        <f>IF(Tabla3[[#This Row],[Fecha]]&lt;53,"",IFERROR(((HOUR(Tabla3[[#This Row],[Horas]])*60+MINUTE(Tabla3[[#This Row],[Horas]]))/60)*$D$1,""))</f>
        <v>0</v>
      </c>
      <c r="E326" s="22" t="str">
        <f>IFERROR(Tabla3[[#This Row],[Cantidad producida]]/Tabla3[[#This Row],[Cantidad teórica]],"")</f>
        <v/>
      </c>
      <c r="F326" s="22">
        <f>IF(Tabla3[[#This Row],[Fecha]]&lt;53,"",IFERROR(Tabla3[[#This Row],[Horas]]/$F$1,""))</f>
        <v>0</v>
      </c>
      <c r="G326" s="15" t="str">
        <f>IF(Tabla3[[#This Row],[Disponibilidad]]="","",IF(Tabla3[[#This Row],[Disponibilidad]]&gt;1,"NO",""))</f>
        <v/>
      </c>
      <c r="H326" t="str">
        <f>IFERROR(IF(VLOOKUP(Tabla3[[#This Row],[Fecha]],Tabla1[[Día]:[P/LC/CF/CL]],5,FALSE)="LC","SI",""),"")</f>
        <v/>
      </c>
      <c r="I326" s="22" t="str">
        <f>IFERROR(Tabla3[[#This Row],[Disponibilidad]]*Tabla3[[#This Row],[Rendimiento]], IF(Tabla3[[#This Row],[LC]]="SI", 0, "No"))</f>
        <v>No</v>
      </c>
      <c r="J326" s="16" t="str">
        <f>IF(Tabla3[[#This Row],[OEE]]="No","",WEEKNUM(Tabla3[[#This Row],[Fecha]]))</f>
        <v/>
      </c>
      <c r="K326" s="27" t="str">
        <f>IFERROR(IF(Tabla3[[#This Row],[OEE]]&lt;&gt;"No",Tabla3[[#This Row],[OEE]]/Tabla3[[#This Row],[Disponibilidad]],""),0)</f>
        <v/>
      </c>
    </row>
    <row r="327" spans="1:11" x14ac:dyDescent="0.25">
      <c r="A327" s="2">
        <v>46008</v>
      </c>
      <c r="B327" s="5">
        <f>SUMIFS('paradas-disp'!F:F,'paradas-disp'!A:A,Tabla3[[#This Row],[Fecha]])</f>
        <v>0</v>
      </c>
      <c r="C327" s="15">
        <f>SUMIFS('paradas-disp'!I:I,'paradas-disp'!A:A,Tabla3[[#This Row],[Fecha]])</f>
        <v>0</v>
      </c>
      <c r="D327" s="15">
        <f>IF(Tabla3[[#This Row],[Fecha]]&lt;53,"",IFERROR(((HOUR(Tabla3[[#This Row],[Horas]])*60+MINUTE(Tabla3[[#This Row],[Horas]]))/60)*$D$1,""))</f>
        <v>0</v>
      </c>
      <c r="E327" s="22" t="str">
        <f>IFERROR(Tabla3[[#This Row],[Cantidad producida]]/Tabla3[[#This Row],[Cantidad teórica]],"")</f>
        <v/>
      </c>
      <c r="F327" s="22">
        <f>IF(Tabla3[[#This Row],[Fecha]]&lt;53,"",IFERROR(Tabla3[[#This Row],[Horas]]/$F$1,""))</f>
        <v>0</v>
      </c>
      <c r="G327" s="15" t="str">
        <f>IF(Tabla3[[#This Row],[Disponibilidad]]="","",IF(Tabla3[[#This Row],[Disponibilidad]]&gt;1,"NO",""))</f>
        <v/>
      </c>
      <c r="H327" t="str">
        <f>IFERROR(IF(VLOOKUP(Tabla3[[#This Row],[Fecha]],Tabla1[[Día]:[P/LC/CF/CL]],5,FALSE)="LC","SI",""),"")</f>
        <v/>
      </c>
      <c r="I327" s="22" t="str">
        <f>IFERROR(Tabla3[[#This Row],[Disponibilidad]]*Tabla3[[#This Row],[Rendimiento]], IF(Tabla3[[#This Row],[LC]]="SI", 0, "No"))</f>
        <v>No</v>
      </c>
      <c r="J327" s="16" t="str">
        <f>IF(Tabla3[[#This Row],[OEE]]="No","",WEEKNUM(Tabla3[[#This Row],[Fecha]]))</f>
        <v/>
      </c>
      <c r="K327" s="27" t="str">
        <f>IFERROR(IF(Tabla3[[#This Row],[OEE]]&lt;&gt;"No",Tabla3[[#This Row],[OEE]]/Tabla3[[#This Row],[Disponibilidad]],""),0)</f>
        <v/>
      </c>
    </row>
    <row r="328" spans="1:11" x14ac:dyDescent="0.25">
      <c r="A328" s="2">
        <v>46009</v>
      </c>
      <c r="B328" s="5">
        <f>SUMIFS('paradas-disp'!F:F,'paradas-disp'!A:A,Tabla3[[#This Row],[Fecha]])</f>
        <v>0</v>
      </c>
      <c r="C328" s="15">
        <f>SUMIFS('paradas-disp'!I:I,'paradas-disp'!A:A,Tabla3[[#This Row],[Fecha]])</f>
        <v>0</v>
      </c>
      <c r="D328" s="15">
        <f>IF(Tabla3[[#This Row],[Fecha]]&lt;53,"",IFERROR(((HOUR(Tabla3[[#This Row],[Horas]])*60+MINUTE(Tabla3[[#This Row],[Horas]]))/60)*$D$1,""))</f>
        <v>0</v>
      </c>
      <c r="E328" s="22" t="str">
        <f>IFERROR(Tabla3[[#This Row],[Cantidad producida]]/Tabla3[[#This Row],[Cantidad teórica]],"")</f>
        <v/>
      </c>
      <c r="F328" s="22">
        <f>IF(Tabla3[[#This Row],[Fecha]]&lt;53,"",IFERROR(Tabla3[[#This Row],[Horas]]/$F$1,""))</f>
        <v>0</v>
      </c>
      <c r="G328" s="15" t="str">
        <f>IF(Tabla3[[#This Row],[Disponibilidad]]="","",IF(Tabla3[[#This Row],[Disponibilidad]]&gt;1,"NO",""))</f>
        <v/>
      </c>
      <c r="H328" t="str">
        <f>IFERROR(IF(VLOOKUP(Tabla3[[#This Row],[Fecha]],Tabla1[[Día]:[P/LC/CF/CL]],5,FALSE)="LC","SI",""),"")</f>
        <v/>
      </c>
      <c r="I328" s="22" t="str">
        <f>IFERROR(Tabla3[[#This Row],[Disponibilidad]]*Tabla3[[#This Row],[Rendimiento]], IF(Tabla3[[#This Row],[LC]]="SI", 0, "No"))</f>
        <v>No</v>
      </c>
      <c r="J328" s="16" t="str">
        <f>IF(Tabla3[[#This Row],[OEE]]="No","",WEEKNUM(Tabla3[[#This Row],[Fecha]]))</f>
        <v/>
      </c>
      <c r="K328" s="27" t="str">
        <f>IFERROR(IF(Tabla3[[#This Row],[OEE]]&lt;&gt;"No",Tabla3[[#This Row],[OEE]]/Tabla3[[#This Row],[Disponibilidad]],""),0)</f>
        <v/>
      </c>
    </row>
    <row r="329" spans="1:11" x14ac:dyDescent="0.25">
      <c r="A329" s="2">
        <v>46010</v>
      </c>
      <c r="B329" s="5">
        <f>SUMIFS('paradas-disp'!F:F,'paradas-disp'!A:A,Tabla3[[#This Row],[Fecha]])</f>
        <v>0</v>
      </c>
      <c r="C329" s="15">
        <f>SUMIFS('paradas-disp'!I:I,'paradas-disp'!A:A,Tabla3[[#This Row],[Fecha]])</f>
        <v>0</v>
      </c>
      <c r="D329" s="15">
        <f>IF(Tabla3[[#This Row],[Fecha]]&lt;53,"",IFERROR(((HOUR(Tabla3[[#This Row],[Horas]])*60+MINUTE(Tabla3[[#This Row],[Horas]]))/60)*$D$1,""))</f>
        <v>0</v>
      </c>
      <c r="E329" s="22" t="str">
        <f>IFERROR(Tabla3[[#This Row],[Cantidad producida]]/Tabla3[[#This Row],[Cantidad teórica]],"")</f>
        <v/>
      </c>
      <c r="F329" s="22">
        <f>IF(Tabla3[[#This Row],[Fecha]]&lt;53,"",IFERROR(Tabla3[[#This Row],[Horas]]/$F$1,""))</f>
        <v>0</v>
      </c>
      <c r="G329" s="15" t="str">
        <f>IF(Tabla3[[#This Row],[Disponibilidad]]="","",IF(Tabla3[[#This Row],[Disponibilidad]]&gt;1,"NO",""))</f>
        <v/>
      </c>
      <c r="H329" t="str">
        <f>IFERROR(IF(VLOOKUP(Tabla3[[#This Row],[Fecha]],Tabla1[[Día]:[P/LC/CF/CL]],5,FALSE)="LC","SI",""),"")</f>
        <v/>
      </c>
      <c r="I329" s="22" t="str">
        <f>IFERROR(Tabla3[[#This Row],[Disponibilidad]]*Tabla3[[#This Row],[Rendimiento]], IF(Tabla3[[#This Row],[LC]]="SI", 0, "No"))</f>
        <v>No</v>
      </c>
      <c r="J329" s="16" t="str">
        <f>IF(Tabla3[[#This Row],[OEE]]="No","",WEEKNUM(Tabla3[[#This Row],[Fecha]]))</f>
        <v/>
      </c>
      <c r="K329" s="27" t="str">
        <f>IFERROR(IF(Tabla3[[#This Row],[OEE]]&lt;&gt;"No",Tabla3[[#This Row],[OEE]]/Tabla3[[#This Row],[Disponibilidad]],""),0)</f>
        <v/>
      </c>
    </row>
    <row r="330" spans="1:11" x14ac:dyDescent="0.25">
      <c r="A330" s="2">
        <v>46011</v>
      </c>
      <c r="B330" s="5">
        <f>SUMIFS('paradas-disp'!F:F,'paradas-disp'!A:A,Tabla3[[#This Row],[Fecha]])</f>
        <v>0</v>
      </c>
      <c r="C330" s="15">
        <f>SUMIFS('paradas-disp'!I:I,'paradas-disp'!A:A,Tabla3[[#This Row],[Fecha]])</f>
        <v>0</v>
      </c>
      <c r="D330" s="15">
        <f>IF(Tabla3[[#This Row],[Fecha]]&lt;53,"",IFERROR(((HOUR(Tabla3[[#This Row],[Horas]])*60+MINUTE(Tabla3[[#This Row],[Horas]]))/60)*$D$1,""))</f>
        <v>0</v>
      </c>
      <c r="E330" s="22" t="str">
        <f>IFERROR(Tabla3[[#This Row],[Cantidad producida]]/Tabla3[[#This Row],[Cantidad teórica]],"")</f>
        <v/>
      </c>
      <c r="F330" s="22">
        <f>IF(Tabla3[[#This Row],[Fecha]]&lt;53,"",IFERROR(Tabla3[[#This Row],[Horas]]/$F$1,""))</f>
        <v>0</v>
      </c>
      <c r="G330" s="15" t="str">
        <f>IF(Tabla3[[#This Row],[Disponibilidad]]="","",IF(Tabla3[[#This Row],[Disponibilidad]]&gt;1,"NO",""))</f>
        <v/>
      </c>
      <c r="H330" t="str">
        <f>IFERROR(IF(VLOOKUP(Tabla3[[#This Row],[Fecha]],Tabla1[[Día]:[P/LC/CF/CL]],5,FALSE)="LC","SI",""),"")</f>
        <v/>
      </c>
      <c r="I330" s="22" t="str">
        <f>IFERROR(Tabla3[[#This Row],[Disponibilidad]]*Tabla3[[#This Row],[Rendimiento]], IF(Tabla3[[#This Row],[LC]]="SI", 0, "No"))</f>
        <v>No</v>
      </c>
      <c r="J330" s="16" t="str">
        <f>IF(Tabla3[[#This Row],[OEE]]="No","",WEEKNUM(Tabla3[[#This Row],[Fecha]]))</f>
        <v/>
      </c>
      <c r="K330" s="27" t="str">
        <f>IFERROR(IF(Tabla3[[#This Row],[OEE]]&lt;&gt;"No",Tabla3[[#This Row],[OEE]]/Tabla3[[#This Row],[Disponibilidad]],""),0)</f>
        <v/>
      </c>
    </row>
    <row r="331" spans="1:11" x14ac:dyDescent="0.25">
      <c r="A331" s="2">
        <v>46012</v>
      </c>
      <c r="B331" s="5">
        <f>SUMIFS('paradas-disp'!F:F,'paradas-disp'!A:A,Tabla3[[#This Row],[Fecha]])</f>
        <v>0</v>
      </c>
      <c r="C331" s="15">
        <f>SUMIFS('paradas-disp'!I:I,'paradas-disp'!A:A,Tabla3[[#This Row],[Fecha]])</f>
        <v>0</v>
      </c>
      <c r="D331" s="15">
        <f>IF(Tabla3[[#This Row],[Fecha]]&lt;53,"",IFERROR(((HOUR(Tabla3[[#This Row],[Horas]])*60+MINUTE(Tabla3[[#This Row],[Horas]]))/60)*$D$1,""))</f>
        <v>0</v>
      </c>
      <c r="E331" s="22" t="str">
        <f>IFERROR(Tabla3[[#This Row],[Cantidad producida]]/Tabla3[[#This Row],[Cantidad teórica]],"")</f>
        <v/>
      </c>
      <c r="F331" s="22">
        <f>IF(Tabla3[[#This Row],[Fecha]]&lt;53,"",IFERROR(Tabla3[[#This Row],[Horas]]/$F$1,""))</f>
        <v>0</v>
      </c>
      <c r="G331" s="15" t="str">
        <f>IF(Tabla3[[#This Row],[Disponibilidad]]="","",IF(Tabla3[[#This Row],[Disponibilidad]]&gt;1,"NO",""))</f>
        <v/>
      </c>
      <c r="H331" t="str">
        <f>IFERROR(IF(VLOOKUP(Tabla3[[#This Row],[Fecha]],Tabla1[[Día]:[P/LC/CF/CL]],5,FALSE)="LC","SI",""),"")</f>
        <v/>
      </c>
      <c r="I331" s="22" t="str">
        <f>IFERROR(Tabla3[[#This Row],[Disponibilidad]]*Tabla3[[#This Row],[Rendimiento]], IF(Tabla3[[#This Row],[LC]]="SI", 0, "No"))</f>
        <v>No</v>
      </c>
      <c r="J331" s="16" t="str">
        <f>IF(Tabla3[[#This Row],[OEE]]="No","",WEEKNUM(Tabla3[[#This Row],[Fecha]]))</f>
        <v/>
      </c>
      <c r="K331" s="27" t="str">
        <f>IFERROR(IF(Tabla3[[#This Row],[OEE]]&lt;&gt;"No",Tabla3[[#This Row],[OEE]]/Tabla3[[#This Row],[Disponibilidad]],""),0)</f>
        <v/>
      </c>
    </row>
    <row r="332" spans="1:11" x14ac:dyDescent="0.25">
      <c r="A332" s="2">
        <v>46013</v>
      </c>
      <c r="B332" s="5">
        <f>SUMIFS('paradas-disp'!F:F,'paradas-disp'!A:A,Tabla3[[#This Row],[Fecha]])</f>
        <v>0</v>
      </c>
      <c r="C332" s="15">
        <f>SUMIFS('paradas-disp'!I:I,'paradas-disp'!A:A,Tabla3[[#This Row],[Fecha]])</f>
        <v>0</v>
      </c>
      <c r="D332" s="15">
        <f>IF(Tabla3[[#This Row],[Fecha]]&lt;53,"",IFERROR(((HOUR(Tabla3[[#This Row],[Horas]])*60+MINUTE(Tabla3[[#This Row],[Horas]]))/60)*$D$1,""))</f>
        <v>0</v>
      </c>
      <c r="E332" s="22" t="str">
        <f>IFERROR(Tabla3[[#This Row],[Cantidad producida]]/Tabla3[[#This Row],[Cantidad teórica]],"")</f>
        <v/>
      </c>
      <c r="F332" s="22">
        <f>IF(Tabla3[[#This Row],[Fecha]]&lt;53,"",IFERROR(Tabla3[[#This Row],[Horas]]/$F$1,""))</f>
        <v>0</v>
      </c>
      <c r="G332" s="15" t="str">
        <f>IF(Tabla3[[#This Row],[Disponibilidad]]="","",IF(Tabla3[[#This Row],[Disponibilidad]]&gt;1,"NO",""))</f>
        <v/>
      </c>
      <c r="H332" t="str">
        <f>IFERROR(IF(VLOOKUP(Tabla3[[#This Row],[Fecha]],Tabla1[[Día]:[P/LC/CF/CL]],5,FALSE)="LC","SI",""),"")</f>
        <v/>
      </c>
      <c r="I332" s="22" t="str">
        <f>IFERROR(Tabla3[[#This Row],[Disponibilidad]]*Tabla3[[#This Row],[Rendimiento]], IF(Tabla3[[#This Row],[LC]]="SI", 0, "No"))</f>
        <v>No</v>
      </c>
      <c r="J332" s="16" t="str">
        <f>IF(Tabla3[[#This Row],[OEE]]="No","",WEEKNUM(Tabla3[[#This Row],[Fecha]]))</f>
        <v/>
      </c>
      <c r="K332" s="27" t="str">
        <f>IFERROR(IF(Tabla3[[#This Row],[OEE]]&lt;&gt;"No",Tabla3[[#This Row],[OEE]]/Tabla3[[#This Row],[Disponibilidad]],""),0)</f>
        <v/>
      </c>
    </row>
    <row r="333" spans="1:11" x14ac:dyDescent="0.25">
      <c r="A333" s="2">
        <v>46014</v>
      </c>
      <c r="B333" s="5">
        <f>SUMIFS('paradas-disp'!F:F,'paradas-disp'!A:A,Tabla3[[#This Row],[Fecha]])</f>
        <v>0</v>
      </c>
      <c r="C333" s="15">
        <f>SUMIFS('paradas-disp'!I:I,'paradas-disp'!A:A,Tabla3[[#This Row],[Fecha]])</f>
        <v>0</v>
      </c>
      <c r="D333" s="15">
        <f>IF(Tabla3[[#This Row],[Fecha]]&lt;53,"",IFERROR(((HOUR(Tabla3[[#This Row],[Horas]])*60+MINUTE(Tabla3[[#This Row],[Horas]]))/60)*$D$1,""))</f>
        <v>0</v>
      </c>
      <c r="E333" s="22" t="str">
        <f>IFERROR(Tabla3[[#This Row],[Cantidad producida]]/Tabla3[[#This Row],[Cantidad teórica]],"")</f>
        <v/>
      </c>
      <c r="F333" s="22">
        <f>IF(Tabla3[[#This Row],[Fecha]]&lt;53,"",IFERROR(Tabla3[[#This Row],[Horas]]/$F$1,""))</f>
        <v>0</v>
      </c>
      <c r="G333" s="15" t="str">
        <f>IF(Tabla3[[#This Row],[Disponibilidad]]="","",IF(Tabla3[[#This Row],[Disponibilidad]]&gt;1,"NO",""))</f>
        <v/>
      </c>
      <c r="H333" t="str">
        <f>IFERROR(IF(VLOOKUP(Tabla3[[#This Row],[Fecha]],Tabla1[[Día]:[P/LC/CF/CL]],5,FALSE)="LC","SI",""),"")</f>
        <v/>
      </c>
      <c r="I333" s="22" t="str">
        <f>IFERROR(Tabla3[[#This Row],[Disponibilidad]]*Tabla3[[#This Row],[Rendimiento]], IF(Tabla3[[#This Row],[LC]]="SI", 0, "No"))</f>
        <v>No</v>
      </c>
      <c r="J333" s="16" t="str">
        <f>IF(Tabla3[[#This Row],[OEE]]="No","",WEEKNUM(Tabla3[[#This Row],[Fecha]]))</f>
        <v/>
      </c>
      <c r="K333" s="27" t="str">
        <f>IFERROR(IF(Tabla3[[#This Row],[OEE]]&lt;&gt;"No",Tabla3[[#This Row],[OEE]]/Tabla3[[#This Row],[Disponibilidad]],""),0)</f>
        <v/>
      </c>
    </row>
    <row r="334" spans="1:11" x14ac:dyDescent="0.25">
      <c r="A334" s="2">
        <v>46015</v>
      </c>
      <c r="B334" s="5">
        <f>SUMIFS('paradas-disp'!F:F,'paradas-disp'!A:A,Tabla3[[#This Row],[Fecha]])</f>
        <v>0</v>
      </c>
      <c r="C334" s="15">
        <f>SUMIFS('paradas-disp'!I:I,'paradas-disp'!A:A,Tabla3[[#This Row],[Fecha]])</f>
        <v>0</v>
      </c>
      <c r="D334" s="15">
        <f>IF(Tabla3[[#This Row],[Fecha]]&lt;53,"",IFERROR(((HOUR(Tabla3[[#This Row],[Horas]])*60+MINUTE(Tabla3[[#This Row],[Horas]]))/60)*$D$1,""))</f>
        <v>0</v>
      </c>
      <c r="E334" s="22" t="str">
        <f>IFERROR(Tabla3[[#This Row],[Cantidad producida]]/Tabla3[[#This Row],[Cantidad teórica]],"")</f>
        <v/>
      </c>
      <c r="F334" s="22">
        <f>IF(Tabla3[[#This Row],[Fecha]]&lt;53,"",IFERROR(Tabla3[[#This Row],[Horas]]/$F$1,""))</f>
        <v>0</v>
      </c>
      <c r="G334" s="15" t="str">
        <f>IF(Tabla3[[#This Row],[Disponibilidad]]="","",IF(Tabla3[[#This Row],[Disponibilidad]]&gt;1,"NO",""))</f>
        <v/>
      </c>
      <c r="H334" t="str">
        <f>IFERROR(IF(VLOOKUP(Tabla3[[#This Row],[Fecha]],Tabla1[[Día]:[P/LC/CF/CL]],5,FALSE)="LC","SI",""),"")</f>
        <v/>
      </c>
      <c r="I334" s="22" t="str">
        <f>IFERROR(Tabla3[[#This Row],[Disponibilidad]]*Tabla3[[#This Row],[Rendimiento]], IF(Tabla3[[#This Row],[LC]]="SI", 0, "No"))</f>
        <v>No</v>
      </c>
      <c r="J334" s="16" t="str">
        <f>IF(Tabla3[[#This Row],[OEE]]="No","",WEEKNUM(Tabla3[[#This Row],[Fecha]]))</f>
        <v/>
      </c>
      <c r="K334" s="27" t="str">
        <f>IFERROR(IF(Tabla3[[#This Row],[OEE]]&lt;&gt;"No",Tabla3[[#This Row],[OEE]]/Tabla3[[#This Row],[Disponibilidad]],""),0)</f>
        <v/>
      </c>
    </row>
    <row r="335" spans="1:11" x14ac:dyDescent="0.25">
      <c r="A335" s="2">
        <v>46016</v>
      </c>
      <c r="B335" s="5">
        <f>SUMIFS('paradas-disp'!F:F,'paradas-disp'!A:A,Tabla3[[#This Row],[Fecha]])</f>
        <v>0</v>
      </c>
      <c r="C335" s="15">
        <f>SUMIFS('paradas-disp'!I:I,'paradas-disp'!A:A,Tabla3[[#This Row],[Fecha]])</f>
        <v>0</v>
      </c>
      <c r="D335" s="15">
        <f>IF(Tabla3[[#This Row],[Fecha]]&lt;53,"",IFERROR(((HOUR(Tabla3[[#This Row],[Horas]])*60+MINUTE(Tabla3[[#This Row],[Horas]]))/60)*$D$1,""))</f>
        <v>0</v>
      </c>
      <c r="E335" s="22" t="str">
        <f>IFERROR(Tabla3[[#This Row],[Cantidad producida]]/Tabla3[[#This Row],[Cantidad teórica]],"")</f>
        <v/>
      </c>
      <c r="F335" s="22">
        <f>IF(Tabla3[[#This Row],[Fecha]]&lt;53,"",IFERROR(Tabla3[[#This Row],[Horas]]/$F$1,""))</f>
        <v>0</v>
      </c>
      <c r="G335" s="15" t="str">
        <f>IF(Tabla3[[#This Row],[Disponibilidad]]="","",IF(Tabla3[[#This Row],[Disponibilidad]]&gt;1,"NO",""))</f>
        <v/>
      </c>
      <c r="H335" t="str">
        <f>IFERROR(IF(VLOOKUP(Tabla3[[#This Row],[Fecha]],Tabla1[[Día]:[P/LC/CF/CL]],5,FALSE)="LC","SI",""),"")</f>
        <v/>
      </c>
      <c r="I335" s="22" t="str">
        <f>IFERROR(Tabla3[[#This Row],[Disponibilidad]]*Tabla3[[#This Row],[Rendimiento]], IF(Tabla3[[#This Row],[LC]]="SI", 0, "No"))</f>
        <v>No</v>
      </c>
      <c r="J335" s="16" t="str">
        <f>IF(Tabla3[[#This Row],[OEE]]="No","",WEEKNUM(Tabla3[[#This Row],[Fecha]]))</f>
        <v/>
      </c>
      <c r="K335" s="27" t="str">
        <f>IFERROR(IF(Tabla3[[#This Row],[OEE]]&lt;&gt;"No",Tabla3[[#This Row],[OEE]]/Tabla3[[#This Row],[Disponibilidad]],""),0)</f>
        <v/>
      </c>
    </row>
    <row r="336" spans="1:11" x14ac:dyDescent="0.25">
      <c r="A336" s="2">
        <v>46017</v>
      </c>
      <c r="B336" s="5">
        <f>SUMIFS('paradas-disp'!F:F,'paradas-disp'!A:A,Tabla3[[#This Row],[Fecha]])</f>
        <v>0</v>
      </c>
      <c r="C336" s="15">
        <f>SUMIFS('paradas-disp'!I:I,'paradas-disp'!A:A,Tabla3[[#This Row],[Fecha]])</f>
        <v>0</v>
      </c>
      <c r="D336" s="15">
        <f>IF(Tabla3[[#This Row],[Fecha]]&lt;53,"",IFERROR(((HOUR(Tabla3[[#This Row],[Horas]])*60+MINUTE(Tabla3[[#This Row],[Horas]]))/60)*$D$1,""))</f>
        <v>0</v>
      </c>
      <c r="E336" s="22" t="str">
        <f>IFERROR(Tabla3[[#This Row],[Cantidad producida]]/Tabla3[[#This Row],[Cantidad teórica]],"")</f>
        <v/>
      </c>
      <c r="F336" s="22">
        <f>IF(Tabla3[[#This Row],[Fecha]]&lt;53,"",IFERROR(Tabla3[[#This Row],[Horas]]/$F$1,""))</f>
        <v>0</v>
      </c>
      <c r="G336" s="15" t="str">
        <f>IF(Tabla3[[#This Row],[Disponibilidad]]="","",IF(Tabla3[[#This Row],[Disponibilidad]]&gt;1,"NO",""))</f>
        <v/>
      </c>
      <c r="H336" t="str">
        <f>IFERROR(IF(VLOOKUP(Tabla3[[#This Row],[Fecha]],Tabla1[[Día]:[P/LC/CF/CL]],5,FALSE)="LC","SI",""),"")</f>
        <v/>
      </c>
      <c r="I336" s="22" t="str">
        <f>IFERROR(Tabla3[[#This Row],[Disponibilidad]]*Tabla3[[#This Row],[Rendimiento]], IF(Tabla3[[#This Row],[LC]]="SI", 0, "No"))</f>
        <v>No</v>
      </c>
      <c r="J336" s="16" t="str">
        <f>IF(Tabla3[[#This Row],[OEE]]="No","",WEEKNUM(Tabla3[[#This Row],[Fecha]]))</f>
        <v/>
      </c>
      <c r="K336" s="27" t="str">
        <f>IFERROR(IF(Tabla3[[#This Row],[OEE]]&lt;&gt;"No",Tabla3[[#This Row],[OEE]]/Tabla3[[#This Row],[Disponibilidad]],""),0)</f>
        <v/>
      </c>
    </row>
    <row r="337" spans="1:11" x14ac:dyDescent="0.25">
      <c r="A337" s="2">
        <v>46018</v>
      </c>
      <c r="B337" s="5">
        <f>SUMIFS('paradas-disp'!F:F,'paradas-disp'!A:A,Tabla3[[#This Row],[Fecha]])</f>
        <v>0</v>
      </c>
      <c r="C337" s="15">
        <f>SUMIFS('paradas-disp'!I:I,'paradas-disp'!A:A,Tabla3[[#This Row],[Fecha]])</f>
        <v>0</v>
      </c>
      <c r="D337" s="15">
        <f>IF(Tabla3[[#This Row],[Fecha]]&lt;53,"",IFERROR(((HOUR(Tabla3[[#This Row],[Horas]])*60+MINUTE(Tabla3[[#This Row],[Horas]]))/60)*$D$1,""))</f>
        <v>0</v>
      </c>
      <c r="E337" s="22" t="str">
        <f>IFERROR(Tabla3[[#This Row],[Cantidad producida]]/Tabla3[[#This Row],[Cantidad teórica]],"")</f>
        <v/>
      </c>
      <c r="F337" s="22">
        <f>IF(Tabla3[[#This Row],[Fecha]]&lt;53,"",IFERROR(Tabla3[[#This Row],[Horas]]/$F$1,""))</f>
        <v>0</v>
      </c>
      <c r="G337" s="15" t="str">
        <f>IF(Tabla3[[#This Row],[Disponibilidad]]="","",IF(Tabla3[[#This Row],[Disponibilidad]]&gt;1,"NO",""))</f>
        <v/>
      </c>
      <c r="H337" t="str">
        <f>IFERROR(IF(VLOOKUP(Tabla3[[#This Row],[Fecha]],Tabla1[[Día]:[P/LC/CF/CL]],5,FALSE)="LC","SI",""),"")</f>
        <v/>
      </c>
      <c r="I337" s="22" t="str">
        <f>IFERROR(Tabla3[[#This Row],[Disponibilidad]]*Tabla3[[#This Row],[Rendimiento]], IF(Tabla3[[#This Row],[LC]]="SI", 0, "No"))</f>
        <v>No</v>
      </c>
      <c r="J337" s="16" t="str">
        <f>IF(Tabla3[[#This Row],[OEE]]="No","",WEEKNUM(Tabla3[[#This Row],[Fecha]]))</f>
        <v/>
      </c>
      <c r="K337" s="27" t="str">
        <f>IFERROR(IF(Tabla3[[#This Row],[OEE]]&lt;&gt;"No",Tabla3[[#This Row],[OEE]]/Tabla3[[#This Row],[Disponibilidad]],""),0)</f>
        <v/>
      </c>
    </row>
    <row r="338" spans="1:11" x14ac:dyDescent="0.25">
      <c r="A338" s="2">
        <v>46019</v>
      </c>
      <c r="B338" s="5">
        <f>SUMIFS('paradas-disp'!F:F,'paradas-disp'!A:A,Tabla3[[#This Row],[Fecha]])</f>
        <v>0</v>
      </c>
      <c r="C338" s="15">
        <f>SUMIFS('paradas-disp'!I:I,'paradas-disp'!A:A,Tabla3[[#This Row],[Fecha]])</f>
        <v>0</v>
      </c>
      <c r="D338" s="15">
        <f>IF(Tabla3[[#This Row],[Fecha]]&lt;53,"",IFERROR(((HOUR(Tabla3[[#This Row],[Horas]])*60+MINUTE(Tabla3[[#This Row],[Horas]]))/60)*$D$1,""))</f>
        <v>0</v>
      </c>
      <c r="E338" s="22" t="str">
        <f>IFERROR(Tabla3[[#This Row],[Cantidad producida]]/Tabla3[[#This Row],[Cantidad teórica]],"")</f>
        <v/>
      </c>
      <c r="F338" s="22">
        <f>IF(Tabla3[[#This Row],[Fecha]]&lt;53,"",IFERROR(Tabla3[[#This Row],[Horas]]/$F$1,""))</f>
        <v>0</v>
      </c>
      <c r="G338" s="15" t="str">
        <f>IF(Tabla3[[#This Row],[Disponibilidad]]="","",IF(Tabla3[[#This Row],[Disponibilidad]]&gt;1,"NO",""))</f>
        <v/>
      </c>
      <c r="H338" t="str">
        <f>IFERROR(IF(VLOOKUP(Tabla3[[#This Row],[Fecha]],Tabla1[[Día]:[P/LC/CF/CL]],5,FALSE)="LC","SI",""),"")</f>
        <v/>
      </c>
      <c r="I338" s="22" t="str">
        <f>IFERROR(Tabla3[[#This Row],[Disponibilidad]]*Tabla3[[#This Row],[Rendimiento]], IF(Tabla3[[#This Row],[LC]]="SI", 0, "No"))</f>
        <v>No</v>
      </c>
      <c r="J338" s="16" t="str">
        <f>IF(Tabla3[[#This Row],[OEE]]="No","",WEEKNUM(Tabla3[[#This Row],[Fecha]]))</f>
        <v/>
      </c>
      <c r="K338" s="27" t="str">
        <f>IFERROR(IF(Tabla3[[#This Row],[OEE]]&lt;&gt;"No",Tabla3[[#This Row],[OEE]]/Tabla3[[#This Row],[Disponibilidad]],""),0)</f>
        <v/>
      </c>
    </row>
    <row r="339" spans="1:11" x14ac:dyDescent="0.25">
      <c r="A339" s="2">
        <v>46020</v>
      </c>
      <c r="B339" s="5">
        <f>SUMIFS('paradas-disp'!F:F,'paradas-disp'!A:A,Tabla3[[#This Row],[Fecha]])</f>
        <v>0</v>
      </c>
      <c r="C339" s="15">
        <f>SUMIFS('paradas-disp'!I:I,'paradas-disp'!A:A,Tabla3[[#This Row],[Fecha]])</f>
        <v>0</v>
      </c>
      <c r="D339" s="15">
        <f>IF(Tabla3[[#This Row],[Fecha]]&lt;53,"",IFERROR(((HOUR(Tabla3[[#This Row],[Horas]])*60+MINUTE(Tabla3[[#This Row],[Horas]]))/60)*$D$1,""))</f>
        <v>0</v>
      </c>
      <c r="E339" s="22" t="str">
        <f>IFERROR(Tabla3[[#This Row],[Cantidad producida]]/Tabla3[[#This Row],[Cantidad teórica]],"")</f>
        <v/>
      </c>
      <c r="F339" s="22">
        <f>IF(Tabla3[[#This Row],[Fecha]]&lt;53,"",IFERROR(Tabla3[[#This Row],[Horas]]/$F$1,""))</f>
        <v>0</v>
      </c>
      <c r="G339" s="15" t="str">
        <f>IF(Tabla3[[#This Row],[Disponibilidad]]="","",IF(Tabla3[[#This Row],[Disponibilidad]]&gt;1,"NO",""))</f>
        <v/>
      </c>
      <c r="H339" t="str">
        <f>IFERROR(IF(VLOOKUP(Tabla3[[#This Row],[Fecha]],Tabla1[[Día]:[P/LC/CF/CL]],5,FALSE)="LC","SI",""),"")</f>
        <v/>
      </c>
      <c r="I339" s="22" t="str">
        <f>IFERROR(Tabla3[[#This Row],[Disponibilidad]]*Tabla3[[#This Row],[Rendimiento]], IF(Tabla3[[#This Row],[LC]]="SI", 0, "No"))</f>
        <v>No</v>
      </c>
      <c r="J339" s="16" t="str">
        <f>IF(Tabla3[[#This Row],[OEE]]="No","",WEEKNUM(Tabla3[[#This Row],[Fecha]]))</f>
        <v/>
      </c>
      <c r="K339" s="27" t="str">
        <f>IFERROR(IF(Tabla3[[#This Row],[OEE]]&lt;&gt;"No",Tabla3[[#This Row],[OEE]]/Tabla3[[#This Row],[Disponibilidad]],""),0)</f>
        <v/>
      </c>
    </row>
    <row r="340" spans="1:11" x14ac:dyDescent="0.25">
      <c r="A340" s="2">
        <v>46021</v>
      </c>
      <c r="B340" s="5">
        <f>SUMIFS('paradas-disp'!F:F,'paradas-disp'!A:A,Tabla3[[#This Row],[Fecha]])</f>
        <v>0</v>
      </c>
      <c r="C340" s="15">
        <f>SUMIFS('paradas-disp'!I:I,'paradas-disp'!A:A,Tabla3[[#This Row],[Fecha]])</f>
        <v>0</v>
      </c>
      <c r="D340" s="15">
        <f>IF(Tabla3[[#This Row],[Fecha]]&lt;53,"",IFERROR(((HOUR(Tabla3[[#This Row],[Horas]])*60+MINUTE(Tabla3[[#This Row],[Horas]]))/60)*$D$1,""))</f>
        <v>0</v>
      </c>
      <c r="E340" s="22" t="str">
        <f>IFERROR(Tabla3[[#This Row],[Cantidad producida]]/Tabla3[[#This Row],[Cantidad teórica]],"")</f>
        <v/>
      </c>
      <c r="F340" s="22">
        <f>IF(Tabla3[[#This Row],[Fecha]]&lt;53,"",IFERROR(Tabla3[[#This Row],[Horas]]/$F$1,""))</f>
        <v>0</v>
      </c>
      <c r="G340" s="15" t="str">
        <f>IF(Tabla3[[#This Row],[Disponibilidad]]="","",IF(Tabla3[[#This Row],[Disponibilidad]]&gt;1,"NO",""))</f>
        <v/>
      </c>
      <c r="H340" t="str">
        <f>IFERROR(IF(VLOOKUP(Tabla3[[#This Row],[Fecha]],Tabla1[[Día]:[P/LC/CF/CL]],5,FALSE)="LC","SI",""),"")</f>
        <v/>
      </c>
      <c r="I340" s="22" t="str">
        <f>IFERROR(Tabla3[[#This Row],[Disponibilidad]]*Tabla3[[#This Row],[Rendimiento]], IF(Tabla3[[#This Row],[LC]]="SI", 0, "No"))</f>
        <v>No</v>
      </c>
      <c r="J340" s="16" t="str">
        <f>IF(Tabla3[[#This Row],[OEE]]="No","",WEEKNUM(Tabla3[[#This Row],[Fecha]]))</f>
        <v/>
      </c>
      <c r="K340" s="27" t="str">
        <f>IFERROR(IF(Tabla3[[#This Row],[OEE]]&lt;&gt;"No",Tabla3[[#This Row],[OEE]]/Tabla3[[#This Row],[Disponibilidad]],""),0)</f>
        <v/>
      </c>
    </row>
    <row r="341" spans="1:11" x14ac:dyDescent="0.25">
      <c r="A341" s="2">
        <v>46022</v>
      </c>
      <c r="B341" s="5">
        <f>SUMIFS('paradas-disp'!F:F,'paradas-disp'!A:A,Tabla3[[#This Row],[Fecha]])</f>
        <v>0</v>
      </c>
      <c r="C341" s="15">
        <f>SUMIFS('paradas-disp'!I:I,'paradas-disp'!A:A,Tabla3[[#This Row],[Fecha]])</f>
        <v>0</v>
      </c>
      <c r="D341" s="15">
        <f>IF(Tabla3[[#This Row],[Fecha]]&lt;53,"",IFERROR(((HOUR(Tabla3[[#This Row],[Horas]])*60+MINUTE(Tabla3[[#This Row],[Horas]]))/60)*$D$1,""))</f>
        <v>0</v>
      </c>
      <c r="E341" s="22" t="str">
        <f>IFERROR(Tabla3[[#This Row],[Cantidad producida]]/Tabla3[[#This Row],[Cantidad teórica]],"")</f>
        <v/>
      </c>
      <c r="F341" s="22">
        <f>IF(Tabla3[[#This Row],[Fecha]]&lt;53,"",IFERROR(Tabla3[[#This Row],[Horas]]/$F$1,""))</f>
        <v>0</v>
      </c>
      <c r="G341" s="15" t="str">
        <f>IF(Tabla3[[#This Row],[Disponibilidad]]="","",IF(Tabla3[[#This Row],[Disponibilidad]]&gt;1,"NO",""))</f>
        <v/>
      </c>
      <c r="H341" t="str">
        <f>IFERROR(IF(VLOOKUP(Tabla3[[#This Row],[Fecha]],Tabla1[[Día]:[P/LC/CF/CL]],5,FALSE)="LC","SI",""),"")</f>
        <v/>
      </c>
      <c r="I341" s="22" t="str">
        <f>IFERROR(Tabla3[[#This Row],[Disponibilidad]]*Tabla3[[#This Row],[Rendimiento]], IF(Tabla3[[#This Row],[LC]]="SI", 0, "No"))</f>
        <v>No</v>
      </c>
      <c r="J341" s="16" t="str">
        <f>IF(Tabla3[[#This Row],[OEE]]="No","",WEEKNUM(Tabla3[[#This Row],[Fecha]]))</f>
        <v/>
      </c>
      <c r="K341" s="27" t="str">
        <f>IFERROR(IF(Tabla3[[#This Row],[OEE]]&lt;&gt;"No",Tabla3[[#This Row],[OEE]]/Tabla3[[#This Row],[Disponibilidad]],""),0)</f>
        <v/>
      </c>
    </row>
    <row r="342" spans="1:11" x14ac:dyDescent="0.25">
      <c r="A342" s="2">
        <v>45856</v>
      </c>
      <c r="B342" s="5">
        <f>SUMIFS('paradas-disp'!F:F,'paradas-disp'!A:A,Tabla3[[#This Row],[Fecha]])</f>
        <v>0</v>
      </c>
      <c r="D342" s="15">
        <f>IF(Tabla3[[#This Row],[Fecha]]&lt;53,"",IFERROR(((HOUR(Tabla3[[#This Row],[Horas]])*60+MINUTE(Tabla3[[#This Row],[Horas]]))/60)*$D$1,""))</f>
        <v>0</v>
      </c>
      <c r="E342" s="22" t="str">
        <f>IFERROR(Tabla3[[#This Row],[Cantidad producida]]/Tabla3[[#This Row],[Cantidad teórica]],"")</f>
        <v/>
      </c>
      <c r="F342" s="22">
        <f>IF(Tabla3[[#This Row],[Fecha]]&lt;53,"",IFERROR(Tabla3[[#This Row],[Horas]]/$F$1,""))</f>
        <v>0</v>
      </c>
      <c r="G342" s="15" t="str">
        <f>IF(Tabla3[[#This Row],[Disponibilidad]]="","",IF(Tabla3[[#This Row],[Disponibilidad]]&gt;1,"NO",""))</f>
        <v/>
      </c>
      <c r="H342" t="str">
        <f>IFERROR(IF(VLOOKUP(Tabla3[[#This Row],[Fecha]],Tabla1[[Día]:[P/LC/CF/CL]],5,FALSE)="LC","SI",""),"")</f>
        <v>SI</v>
      </c>
      <c r="I342" s="22">
        <f>IFERROR(Tabla3[[#This Row],[Disponibilidad]]*Tabla3[[#This Row],[Rendimiento]], IF(Tabla3[[#This Row],[LC]]="SI", 0, "No"))</f>
        <v>0</v>
      </c>
      <c r="J342" s="16">
        <f>IF(Tabla3[[#This Row],[OEE]]="No","",WEEKNUM(Tabla3[[#This Row],[Fecha]]))</f>
        <v>29</v>
      </c>
      <c r="K342" s="27">
        <f>IFERROR(IF(Tabla3[[#This Row],[OEE]]&lt;&gt;"No",Tabla3[[#This Row],[OEE]]/Tabla3[[#This Row],[Disponibilidad]],""),0)</f>
        <v>0</v>
      </c>
    </row>
    <row r="343" spans="1:11" x14ac:dyDescent="0.25">
      <c r="A343" s="2">
        <v>45856</v>
      </c>
      <c r="B343" s="5">
        <f>SUMIFS('paradas-disp'!F:F,'paradas-disp'!A:A,Tabla3[[#This Row],[Fecha]])</f>
        <v>0</v>
      </c>
      <c r="D343" s="15">
        <f>IF(Tabla3[[#This Row],[Fecha]]&lt;53,"",IFERROR(((HOUR(Tabla3[[#This Row],[Horas]])*60+MINUTE(Tabla3[[#This Row],[Horas]]))/60)*$D$1,""))</f>
        <v>0</v>
      </c>
      <c r="E343" s="22" t="str">
        <f>IFERROR(Tabla3[[#This Row],[Cantidad producida]]/Tabla3[[#This Row],[Cantidad teórica]],"")</f>
        <v/>
      </c>
      <c r="F343" s="22">
        <f>IF(Tabla3[[#This Row],[Fecha]]&lt;53,"",IFERROR(Tabla3[[#This Row],[Horas]]/$F$1,""))</f>
        <v>0</v>
      </c>
      <c r="G343" s="15" t="str">
        <f>IF(Tabla3[[#This Row],[Disponibilidad]]="","",IF(Tabla3[[#This Row],[Disponibilidad]]&gt;1,"NO",""))</f>
        <v/>
      </c>
      <c r="H343" t="str">
        <f>IFERROR(IF(VLOOKUP(Tabla3[[#This Row],[Fecha]],Tabla1[[Día]:[P/LC/CF/CL]],5,FALSE)="LC","SI",""),"")</f>
        <v>SI</v>
      </c>
      <c r="I343" s="22">
        <f>IFERROR(Tabla3[[#This Row],[Disponibilidad]]*Tabla3[[#This Row],[Rendimiento]], IF(Tabla3[[#This Row],[LC]]="SI", 0, "No"))</f>
        <v>0</v>
      </c>
      <c r="J343" s="16">
        <f>IF(Tabla3[[#This Row],[OEE]]="No","",WEEKNUM(Tabla3[[#This Row],[Fecha]]))</f>
        <v>29</v>
      </c>
      <c r="K343" s="27">
        <f>IFERROR(IF(Tabla3[[#This Row],[OEE]]&lt;&gt;"No",Tabla3[[#This Row],[OEE]]/Tabla3[[#This Row],[Disponibilidad]],""),0)</f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9528b9-6c8d-46d5-a513-da380458d4e9" xsi:nil="true"/>
    <lcf76f155ced4ddcb4097134ff3c332f xmlns="7b338849-c321-419a-b516-c65118f0b4f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F19E79267E5F4AB0FD712DCCCCEF4E" ma:contentTypeVersion="13" ma:contentTypeDescription="Crear nuevo documento." ma:contentTypeScope="" ma:versionID="3ad1e9e9bbd9c4e281f42947c0f7b9ed">
  <xsd:schema xmlns:xsd="http://www.w3.org/2001/XMLSchema" xmlns:xs="http://www.w3.org/2001/XMLSchema" xmlns:p="http://schemas.microsoft.com/office/2006/metadata/properties" xmlns:ns2="7b338849-c321-419a-b516-c65118f0b4f8" xmlns:ns3="469528b9-6c8d-46d5-a513-da380458d4e9" targetNamespace="http://schemas.microsoft.com/office/2006/metadata/properties" ma:root="true" ma:fieldsID="2238c9e941f78122967f8ee80c2edcf3" ns2:_="" ns3:_="">
    <xsd:import namespace="7b338849-c321-419a-b516-c65118f0b4f8"/>
    <xsd:import namespace="469528b9-6c8d-46d5-a513-da380458d4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338849-c321-419a-b516-c65118f0b4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9e9515e-2c17-4f3a-9cf3-f045cceb8e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9528b9-6c8d-46d5-a513-da380458d4e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8f1624b-6965-43d7-a278-6d835c1c52f9}" ma:internalName="TaxCatchAll" ma:showField="CatchAllData" ma:web="469528b9-6c8d-46d5-a513-da380458d4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DFE097-E258-4ECC-9E4E-F1C36E1169E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3BB966-73A2-4AAE-8C5D-444095A15139}">
  <ds:schemaRefs>
    <ds:schemaRef ds:uri="http://schemas.microsoft.com/office/2006/metadata/properties"/>
    <ds:schemaRef ds:uri="http://schemas.microsoft.com/office/infopath/2007/PartnerControls"/>
    <ds:schemaRef ds:uri="469528b9-6c8d-46d5-a513-da380458d4e9"/>
    <ds:schemaRef ds:uri="7b338849-c321-419a-b516-c65118f0b4f8"/>
  </ds:schemaRefs>
</ds:datastoreItem>
</file>

<file path=customXml/itemProps3.xml><?xml version="1.0" encoding="utf-8"?>
<ds:datastoreItem xmlns:ds="http://schemas.openxmlformats.org/officeDocument/2006/customXml" ds:itemID="{1C953066-E874-4D82-A20A-1919D89DDC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338849-c321-419a-b516-c65118f0b4f8"/>
    <ds:schemaRef ds:uri="469528b9-6c8d-46d5-a513-da380458d4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Hoja1</vt:lpstr>
      <vt:lpstr>Hoja2</vt:lpstr>
      <vt:lpstr>DASHBOARD</vt:lpstr>
      <vt:lpstr>Pareto de paradas</vt:lpstr>
      <vt:lpstr>Sheet1</vt:lpstr>
      <vt:lpstr>paradas-disp</vt:lpstr>
      <vt:lpstr>OEE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Susana Galaso</dc:creator>
  <cp:keywords/>
  <dc:description/>
  <cp:lastModifiedBy>Miquel Borrell</cp:lastModifiedBy>
  <cp:revision/>
  <dcterms:created xsi:type="dcterms:W3CDTF">2025-03-19T09:37:59Z</dcterms:created>
  <dcterms:modified xsi:type="dcterms:W3CDTF">2025-08-31T10:58:59Z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0x010100F1F19E79267E5F4AB0FD712DCCCCEF4E</vt:lpwstr>
  </property>
  <property fmtid="{D5CDD505-2E9C-101B-9397-08002B2CF9AE}" pid="3" name="MediaServiceImageTags">
    <vt:lpwstr/>
  </property>
</Properties>
</file>